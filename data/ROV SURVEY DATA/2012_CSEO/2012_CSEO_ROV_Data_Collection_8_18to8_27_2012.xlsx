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390" yWindow="390" windowWidth="22950" windowHeight="8985"/>
  </bookViews>
  <sheets>
    <sheet name="Header" sheetId="1" r:id="rId1"/>
    <sheet name="Data_Collection" sheetId="2" r:id="rId2"/>
    <sheet name="Schedule" sheetId="4" r:id="rId3"/>
    <sheet name="Rquipment" sheetId="3" r:id="rId4"/>
    <sheet name="Notes" sheetId="5" r:id="rId5"/>
  </sheets>
  <definedNames>
    <definedName name="_xlnm._FilterDatabase" localSheetId="1" hidden="1">Data_Collection!$A$1:$E$80</definedName>
    <definedName name="_xlnm._FilterDatabase" localSheetId="0" hidden="1">Header!$A$1:$M$49</definedName>
  </definedNames>
  <calcPr calcId="145621"/>
</workbook>
</file>

<file path=xl/calcChain.xml><?xml version="1.0" encoding="utf-8"?>
<calcChain xmlns="http://schemas.openxmlformats.org/spreadsheetml/2006/main">
  <c r="D4" i="1" l="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3"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A48" i="3"/>
  <c r="B48" i="3"/>
  <c r="A3" i="3"/>
  <c r="B3" i="3"/>
  <c r="A4" i="3"/>
  <c r="B4" i="3"/>
  <c r="A5" i="3"/>
  <c r="B5" i="3"/>
  <c r="A6" i="3"/>
  <c r="B6" i="3"/>
  <c r="A7" i="3"/>
  <c r="B7" i="3"/>
  <c r="A8" i="3"/>
  <c r="B8" i="3"/>
  <c r="A9" i="3"/>
  <c r="B9" i="3"/>
  <c r="A10" i="3"/>
  <c r="B10" i="3"/>
  <c r="A11" i="3"/>
  <c r="B11" i="3"/>
  <c r="A12" i="3"/>
  <c r="B12" i="3"/>
  <c r="A13" i="3"/>
  <c r="B13" i="3"/>
  <c r="A14" i="3"/>
  <c r="B14" i="3"/>
  <c r="A15" i="3"/>
  <c r="B15" i="3"/>
  <c r="A16" i="3"/>
  <c r="B16" i="3"/>
  <c r="A17" i="3"/>
  <c r="B17" i="3"/>
  <c r="A18" i="3"/>
  <c r="B18" i="3"/>
  <c r="A19" i="3"/>
  <c r="B19" i="3"/>
  <c r="A20" i="3"/>
  <c r="B20" i="3"/>
  <c r="A21" i="3"/>
  <c r="B21" i="3"/>
  <c r="A22" i="3"/>
  <c r="B22" i="3"/>
  <c r="A23" i="3"/>
  <c r="B23" i="3"/>
  <c r="A24" i="3"/>
  <c r="B24" i="3"/>
  <c r="A25" i="3"/>
  <c r="B25" i="3"/>
  <c r="A26" i="3"/>
  <c r="B26" i="3"/>
  <c r="A27" i="3"/>
  <c r="B27" i="3"/>
  <c r="A28" i="3"/>
  <c r="B28" i="3"/>
  <c r="A29" i="3"/>
  <c r="B29" i="3"/>
  <c r="A30" i="3"/>
  <c r="B30" i="3"/>
  <c r="A31" i="3"/>
  <c r="B31" i="3"/>
  <c r="A32" i="3"/>
  <c r="B32" i="3"/>
  <c r="A33" i="3"/>
  <c r="B33" i="3"/>
  <c r="A34" i="3"/>
  <c r="B34" i="3"/>
  <c r="A35" i="3"/>
  <c r="B35" i="3"/>
  <c r="A36" i="3"/>
  <c r="B36" i="3"/>
  <c r="A37" i="3"/>
  <c r="B37" i="3"/>
  <c r="A38" i="3"/>
  <c r="B38" i="3"/>
  <c r="A39" i="3"/>
  <c r="B39" i="3"/>
  <c r="A40" i="3"/>
  <c r="B40" i="3"/>
  <c r="A41" i="3"/>
  <c r="B41" i="3"/>
  <c r="A42" i="3"/>
  <c r="B42" i="3"/>
  <c r="A43" i="3"/>
  <c r="B43" i="3"/>
  <c r="A44" i="3"/>
  <c r="B44" i="3"/>
  <c r="A45" i="3"/>
  <c r="B45" i="3"/>
  <c r="A46" i="3"/>
  <c r="B46" i="3"/>
  <c r="A47" i="3"/>
  <c r="B47" i="3"/>
  <c r="F3" i="4"/>
  <c r="F4" i="4"/>
  <c r="F5" i="4"/>
  <c r="F6" i="4"/>
  <c r="F7" i="4"/>
  <c r="F8" i="4"/>
  <c r="F9" i="4" s="1"/>
  <c r="F10" i="4" s="1"/>
  <c r="F11" i="4" s="1"/>
  <c r="B2" i="3"/>
  <c r="A2" i="3"/>
  <c r="D3" i="4"/>
  <c r="D4" i="4"/>
  <c r="D5" i="4"/>
  <c r="D6" i="4" s="1"/>
  <c r="D7" i="4" s="1"/>
  <c r="D8" i="4" s="1"/>
  <c r="D9" i="4" s="1"/>
  <c r="D10" i="4" s="1"/>
  <c r="D11" i="4" s="1"/>
</calcChain>
</file>

<file path=xl/sharedStrings.xml><?xml version="1.0" encoding="utf-8"?>
<sst xmlns="http://schemas.openxmlformats.org/spreadsheetml/2006/main" count="1295" uniqueCount="363">
  <si>
    <t>Date</t>
  </si>
  <si>
    <t>Transect</t>
  </si>
  <si>
    <t>Type</t>
  </si>
  <si>
    <t>Completed</t>
  </si>
  <si>
    <t>Current_Dir</t>
  </si>
  <si>
    <t>Current_Vel</t>
  </si>
  <si>
    <t>TDR</t>
  </si>
  <si>
    <t>Comments</t>
  </si>
  <si>
    <t>TC</t>
  </si>
  <si>
    <t>Day</t>
  </si>
  <si>
    <t>Transects</t>
  </si>
  <si>
    <t>Cumulative</t>
  </si>
  <si>
    <t>Notes</t>
  </si>
  <si>
    <t>Friday</t>
  </si>
  <si>
    <t>Saturday</t>
  </si>
  <si>
    <t>Sunday</t>
  </si>
  <si>
    <t>Monday</t>
  </si>
  <si>
    <t>Tuesday</t>
  </si>
  <si>
    <t>Wednesday</t>
  </si>
  <si>
    <t>Thursday</t>
  </si>
  <si>
    <t>DOE_angle</t>
  </si>
  <si>
    <t>DOE laser width</t>
  </si>
  <si>
    <t>Mer_deploy</t>
  </si>
  <si>
    <t>Mer_angle</t>
  </si>
  <si>
    <t>Mer laser width</t>
  </si>
  <si>
    <t>USBL</t>
  </si>
  <si>
    <t>GPS</t>
  </si>
  <si>
    <t>Med</t>
  </si>
  <si>
    <t>Short proboscis</t>
  </si>
  <si>
    <t>Plan</t>
  </si>
  <si>
    <t>Start_End</t>
  </si>
  <si>
    <t>Start</t>
  </si>
  <si>
    <t>End</t>
  </si>
  <si>
    <t>Restart</t>
  </si>
  <si>
    <t>Direction</t>
  </si>
  <si>
    <t>Dive</t>
  </si>
  <si>
    <t>HP_line</t>
  </si>
  <si>
    <t>22:54:10:18</t>
  </si>
  <si>
    <t>23:27:10:26</t>
  </si>
  <si>
    <t>6738-2</t>
  </si>
  <si>
    <t>6738_1</t>
  </si>
  <si>
    <t>00:02:15:05</t>
  </si>
  <si>
    <t>Dive_Id</t>
  </si>
  <si>
    <t>00:34:38:24</t>
  </si>
  <si>
    <t>6736_1</t>
  </si>
  <si>
    <t>01:10:57:09</t>
  </si>
  <si>
    <t>01:40:24:19</t>
  </si>
  <si>
    <t>6736_2</t>
  </si>
  <si>
    <t>01:49:53:28</t>
  </si>
  <si>
    <t>YE cnt</t>
  </si>
  <si>
    <t>02:13:19:22</t>
  </si>
  <si>
    <t>6739_1</t>
  </si>
  <si>
    <t>16:49:22:19</t>
  </si>
  <si>
    <t>17:27:51:17</t>
  </si>
  <si>
    <t>6739-2</t>
  </si>
  <si>
    <t>17:35:46:19</t>
  </si>
  <si>
    <t>17:38:03:01</t>
  </si>
  <si>
    <t>17:39:20:13</t>
  </si>
  <si>
    <t>pause</t>
  </si>
  <si>
    <t>restart</t>
  </si>
  <si>
    <t>17:41:45:04</t>
  </si>
  <si>
    <t>17:42:20:11</t>
  </si>
  <si>
    <t>17:46:08:21</t>
  </si>
  <si>
    <t>17:48:07:23</t>
  </si>
  <si>
    <t>17:58:13:12</t>
  </si>
  <si>
    <t>6740_1</t>
  </si>
  <si>
    <t>19:03:28:24</t>
  </si>
  <si>
    <t>19:32:24:00</t>
  </si>
  <si>
    <t>6741_1</t>
  </si>
  <si>
    <t>6741_2</t>
  </si>
  <si>
    <t>20:11:07:10</t>
  </si>
  <si>
    <t>20:49:40:14</t>
  </si>
  <si>
    <t>21:09:46:18</t>
  </si>
  <si>
    <t>21:38:31:26</t>
  </si>
  <si>
    <t>6742_1</t>
  </si>
  <si>
    <t>6742_2</t>
  </si>
  <si>
    <t>23:34:24:10</t>
  </si>
  <si>
    <t>00:02:39:28</t>
  </si>
  <si>
    <t>00:08:10:02</t>
  </si>
  <si>
    <t>00:34:15:17</t>
  </si>
  <si>
    <t>01:45:00:19</t>
  </si>
  <si>
    <t>6746_2</t>
  </si>
  <si>
    <t>02:18:54:26</t>
  </si>
  <si>
    <t>02:25:48:25</t>
  </si>
  <si>
    <t>6746_1</t>
  </si>
  <si>
    <t>02:55:14:16</t>
  </si>
  <si>
    <t>Add DOE video header - added.</t>
  </si>
  <si>
    <t>Check DOE video for header info - checked, good.</t>
  </si>
  <si>
    <t>between stereo cameras aimed to intersect center of HAOV with ROV 1m off substrate and center of VAOV</t>
  </si>
  <si>
    <t>on either side of DOE camera aimed straight ahead and down at -30 degrees</t>
  </si>
  <si>
    <t>Low</t>
  </si>
  <si>
    <t>Lights_stereo_location</t>
  </si>
  <si>
    <t>Lights_stereo_level</t>
  </si>
  <si>
    <t>Lights_lower_location</t>
  </si>
  <si>
    <t>Lights_lower_level</t>
  </si>
  <si>
    <t>Tracklink 1500MA</t>
  </si>
  <si>
    <t>Kongsburg MRUD</t>
  </si>
  <si>
    <t>Trimble ag132</t>
  </si>
  <si>
    <t>Furuno SC60</t>
  </si>
  <si>
    <t>DOE_OSD</t>
  </si>
  <si>
    <t>Crossbow CXTA01</t>
  </si>
  <si>
    <t>Tritech PA500/6</t>
  </si>
  <si>
    <t>ROV_roll</t>
  </si>
  <si>
    <t>ROV_altimeter</t>
  </si>
  <si>
    <t>ROV_pitch</t>
  </si>
  <si>
    <t>ROV_heading</t>
  </si>
  <si>
    <t>Vessel_headiing</t>
  </si>
  <si>
    <t>Vessel_pitch_roll</t>
  </si>
  <si>
    <t>6745_1</t>
  </si>
  <si>
    <t>6745_2</t>
  </si>
  <si>
    <t>15:18:22:15</t>
  </si>
  <si>
    <t>ye</t>
  </si>
  <si>
    <t>15:26:37:02</t>
  </si>
  <si>
    <t>15:32:37:03</t>
  </si>
  <si>
    <t>15:33:16:18</t>
  </si>
  <si>
    <t>15:35:58:08</t>
  </si>
  <si>
    <t>15:36:08:04</t>
  </si>
  <si>
    <t>15:37:08:25</t>
  </si>
  <si>
    <t>15:40:03:10</t>
  </si>
  <si>
    <t>15:40:40:19</t>
  </si>
  <si>
    <t>lc</t>
  </si>
  <si>
    <t>15:41:25:13</t>
  </si>
  <si>
    <t>15:42:50:09</t>
  </si>
  <si>
    <t>15:48:44:06</t>
  </si>
  <si>
    <t>15:55:30:13</t>
  </si>
  <si>
    <t>15:58:01:29</t>
  </si>
  <si>
    <t>sye</t>
  </si>
  <si>
    <t>15:59:54:28</t>
  </si>
  <si>
    <t>16:00:15:29</t>
  </si>
  <si>
    <t>jye</t>
  </si>
  <si>
    <t>16:03:12:12</t>
  </si>
  <si>
    <t>16:07:24:24</t>
  </si>
  <si>
    <t>16:20:26:18</t>
  </si>
  <si>
    <t>16:23:34:00</t>
  </si>
  <si>
    <t>6744_2</t>
  </si>
  <si>
    <t>17:24:05:18</t>
  </si>
  <si>
    <t>Time code for yelloweye count</t>
  </si>
  <si>
    <t>17:25:25:26</t>
  </si>
  <si>
    <t>17:30:24:14</t>
  </si>
  <si>
    <t>17:32:35:12</t>
  </si>
  <si>
    <t>17:36:20:27</t>
  </si>
  <si>
    <t>17:49:12:24</t>
  </si>
  <si>
    <t>17:55:21:07</t>
  </si>
  <si>
    <t>6744_1</t>
  </si>
  <si>
    <t>18:17:26:01</t>
  </si>
  <si>
    <t>6747_2</t>
  </si>
  <si>
    <t>19:22:40:16</t>
  </si>
  <si>
    <t>19:23:28:06</t>
  </si>
  <si>
    <t>19:31:28:17</t>
  </si>
  <si>
    <t>19:35:17:02</t>
  </si>
  <si>
    <t>19:41:34:28</t>
  </si>
  <si>
    <t>19:52:10:03</t>
  </si>
  <si>
    <t>19:55:20:26</t>
  </si>
  <si>
    <t>6747_1</t>
  </si>
  <si>
    <t>20:03:51:07</t>
  </si>
  <si>
    <t>20:12:59:25</t>
  </si>
  <si>
    <t>20:14:31:02</t>
  </si>
  <si>
    <t>20:16:39:25</t>
  </si>
  <si>
    <t>20:17:43:26</t>
  </si>
  <si>
    <t>20:19:39:14</t>
  </si>
  <si>
    <t>20:19:56:24</t>
  </si>
  <si>
    <t>20:23:35:14</t>
  </si>
  <si>
    <t>20:25:22:09</t>
  </si>
  <si>
    <t>20:34:47:13</t>
  </si>
  <si>
    <t>21:35:33:24</t>
  </si>
  <si>
    <t>22:06:28:04</t>
  </si>
  <si>
    <t>6748_2</t>
  </si>
  <si>
    <t>22:54:07:15</t>
  </si>
  <si>
    <t>23:06:04:02</t>
  </si>
  <si>
    <t>Rov to come around clump</t>
  </si>
  <si>
    <t>23:08:37:23</t>
  </si>
  <si>
    <t>23:13:24:09</t>
  </si>
  <si>
    <t>23:17:11:05</t>
  </si>
  <si>
    <t>23:30:17:14</t>
  </si>
  <si>
    <t>6748_3</t>
  </si>
  <si>
    <t>23:38:13:10</t>
  </si>
  <si>
    <t>00:02:40:20</t>
  </si>
  <si>
    <t>00:07:28:29</t>
  </si>
  <si>
    <t>00:15:12:13</t>
  </si>
  <si>
    <t>6755_2</t>
  </si>
  <si>
    <t>15:22:08:17</t>
  </si>
  <si>
    <t>15:36:26:20</t>
  </si>
  <si>
    <t>Stop</t>
  </si>
  <si>
    <t>Closelined by longline gear, resurface</t>
  </si>
  <si>
    <t>16:00:34:02</t>
  </si>
  <si>
    <t>Part 2, restart west of longline gear on same tract</t>
  </si>
  <si>
    <t>16:17:45:17</t>
  </si>
  <si>
    <t>16:22:25:14</t>
  </si>
  <si>
    <t>Caught by longline gear, resurfaced, restart on same line</t>
  </si>
  <si>
    <t>6755_1</t>
  </si>
  <si>
    <t>6755_2 (2)</t>
  </si>
  <si>
    <t>16:45:44:02</t>
  </si>
  <si>
    <t>16:52:24:29</t>
  </si>
  <si>
    <t>17:54:26:19</t>
  </si>
  <si>
    <t>6754_1</t>
  </si>
  <si>
    <t>18:01:02:25</t>
  </si>
  <si>
    <t>18:02:52:08</t>
  </si>
  <si>
    <t>18:04:04:16</t>
  </si>
  <si>
    <t>18:05:34:16</t>
  </si>
  <si>
    <t>18:08:13:27</t>
  </si>
  <si>
    <t>18:18:13:14</t>
  </si>
  <si>
    <t>6749_1</t>
  </si>
  <si>
    <t>19:16:08:10</t>
  </si>
  <si>
    <t>19:45:09:01</t>
  </si>
  <si>
    <t>19:46:08:06</t>
  </si>
  <si>
    <t>6749_2</t>
  </si>
  <si>
    <t>20:16:54:26</t>
  </si>
  <si>
    <t>20:19:18:17</t>
  </si>
  <si>
    <t>20:29:01:20</t>
  </si>
  <si>
    <t>20:33:05:00</t>
  </si>
  <si>
    <t>20:39:02:06</t>
  </si>
  <si>
    <t>20:43:58:22</t>
  </si>
  <si>
    <t>20:46:11:02</t>
  </si>
  <si>
    <t>20:50:07:27</t>
  </si>
  <si>
    <t>6753_2</t>
  </si>
  <si>
    <t>21:52:29:20</t>
  </si>
  <si>
    <t>21:53:00:18</t>
  </si>
  <si>
    <t>21:53:05:02</t>
  </si>
  <si>
    <t>21:55:52:20</t>
  </si>
  <si>
    <t>22:06:01:21</t>
  </si>
  <si>
    <t>22:26:58:22</t>
  </si>
  <si>
    <t>22:31:30:22</t>
  </si>
  <si>
    <t>6753_1</t>
  </si>
  <si>
    <t>22:37:43:28</t>
  </si>
  <si>
    <t>22:37:52:24</t>
  </si>
  <si>
    <t>22:39:46:11</t>
  </si>
  <si>
    <t>22:45:24:29</t>
  </si>
  <si>
    <t>22:53:56:25</t>
  </si>
  <si>
    <t>23:02:10:08</t>
  </si>
  <si>
    <t>23:10:39:09</t>
  </si>
  <si>
    <t>23:15:21:19</t>
  </si>
  <si>
    <t>6756_2</t>
  </si>
  <si>
    <t>6756_1</t>
  </si>
  <si>
    <t>6757_2</t>
  </si>
  <si>
    <t>6757_1</t>
  </si>
  <si>
    <t>6758_2</t>
  </si>
  <si>
    <t>6758_1</t>
  </si>
  <si>
    <t>6759_2</t>
  </si>
  <si>
    <t>01:46:47:02</t>
  </si>
  <si>
    <t>01:48:43:02</t>
  </si>
  <si>
    <t>02:07:07:20</t>
  </si>
  <si>
    <t>Check start on tape</t>
  </si>
  <si>
    <t>pause/restart</t>
  </si>
  <si>
    <t>02:13:36:24</t>
  </si>
  <si>
    <t>02:17:16:27</t>
  </si>
  <si>
    <t>02:23:53:05</t>
  </si>
  <si>
    <t>6759_1</t>
  </si>
  <si>
    <t>02:56:52:29</t>
  </si>
  <si>
    <t>02:57:01:19</t>
  </si>
  <si>
    <t>03:08:31:23</t>
  </si>
  <si>
    <t>03:20:49:03</t>
  </si>
  <si>
    <t>03:30:26:16</t>
  </si>
  <si>
    <t>16:24:19:22</t>
  </si>
  <si>
    <t>16:54:03:11</t>
  </si>
  <si>
    <t>Tracklink computer crash, timecode unavailable. Timecode listed is from video.</t>
  </si>
  <si>
    <t>15:33:45:27</t>
  </si>
  <si>
    <t>16:12:00:15</t>
  </si>
  <si>
    <t>Aborted, lights failure.</t>
  </si>
  <si>
    <t>6762_1</t>
  </si>
  <si>
    <t>15:47:14:16</t>
  </si>
  <si>
    <t>15:53:01:05</t>
  </si>
  <si>
    <t>16:00:57:21</t>
  </si>
  <si>
    <t>16:07:17:25</t>
  </si>
  <si>
    <t>16:14:09:13</t>
  </si>
  <si>
    <t>16:21:00:15</t>
  </si>
  <si>
    <t>16:21:51:03</t>
  </si>
  <si>
    <t>16:22:31:27</t>
  </si>
  <si>
    <t>resume</t>
  </si>
  <si>
    <t>16:30:39:09</t>
  </si>
  <si>
    <t>16:30:59:08</t>
  </si>
  <si>
    <t>16:49:58:06</t>
  </si>
  <si>
    <t>16:52:04:15</t>
  </si>
  <si>
    <t>16:53:36:18</t>
  </si>
  <si>
    <t>6761_1</t>
  </si>
  <si>
    <t>17:42:43:16</t>
  </si>
  <si>
    <t>18:08:27:21</t>
  </si>
  <si>
    <t>18:09:15:15</t>
  </si>
  <si>
    <t>18:15:01:07</t>
  </si>
  <si>
    <t>6761_2</t>
  </si>
  <si>
    <t>18:20:32:23</t>
  </si>
  <si>
    <t>18:54:34:26</t>
  </si>
  <si>
    <t>6765_2</t>
  </si>
  <si>
    <t>20:01:35:17</t>
  </si>
  <si>
    <t>20:02:04:06</t>
  </si>
  <si>
    <t>20:17:56:09</t>
  </si>
  <si>
    <t>20:19:01:04</t>
  </si>
  <si>
    <t>20:28:35:24</t>
  </si>
  <si>
    <t>20:29:39:17</t>
  </si>
  <si>
    <t>20:34:48:08</t>
  </si>
  <si>
    <t>20:35:43:11</t>
  </si>
  <si>
    <t>6765_1</t>
  </si>
  <si>
    <t>20:45:55:22</t>
  </si>
  <si>
    <t>20:49:12:00</t>
  </si>
  <si>
    <t>21:10:03:04</t>
  </si>
  <si>
    <t>21:10:46:13</t>
  </si>
  <si>
    <t>21:11:23:19</t>
  </si>
  <si>
    <t>21:21:51:18</t>
  </si>
  <si>
    <t>6773_1</t>
  </si>
  <si>
    <t>01:31:35:13</t>
  </si>
  <si>
    <t>01:33:33:09</t>
  </si>
  <si>
    <t>01:33:50:10</t>
  </si>
  <si>
    <t>01:37:42:04</t>
  </si>
  <si>
    <t>01:38:39:24</t>
  </si>
  <si>
    <t>spy a thornyhead</t>
  </si>
  <si>
    <t>01:39:56:03</t>
  </si>
  <si>
    <t>01:40:29:17</t>
  </si>
  <si>
    <t>01:51:48:21</t>
  </si>
  <si>
    <t>01:52:06:11</t>
  </si>
  <si>
    <t>switch to 120_n line, cross current</t>
  </si>
  <si>
    <t>01:56:43:29</t>
  </si>
  <si>
    <t>wait for boat</t>
  </si>
  <si>
    <t>01:57:39:29</t>
  </si>
  <si>
    <t>02:05:58:28</t>
  </si>
  <si>
    <t>02:08:18:12</t>
  </si>
  <si>
    <t>02:12:02:00</t>
  </si>
  <si>
    <t>02:12:22:05</t>
  </si>
  <si>
    <t>6773_2</t>
  </si>
  <si>
    <t>21:54:24:01</t>
  </si>
  <si>
    <t>21:56:27:21</t>
  </si>
  <si>
    <t>wait for clump</t>
  </si>
  <si>
    <t>21:57:27:09</t>
  </si>
  <si>
    <t>22:03:41:25</t>
  </si>
  <si>
    <t>22:11:30:23</t>
  </si>
  <si>
    <t>22:32:51:29</t>
  </si>
  <si>
    <t>6770_1</t>
  </si>
  <si>
    <t>00:29:39:25</t>
  </si>
  <si>
    <t>00:50:43:25</t>
  </si>
  <si>
    <t>01:07:51:15</t>
  </si>
  <si>
    <t>6770_2</t>
  </si>
  <si>
    <t>01:18:39:09</t>
  </si>
  <si>
    <t>01:19:49:17</t>
  </si>
  <si>
    <t>01:24:28:00</t>
  </si>
  <si>
    <t>01:34:57:21</t>
  </si>
  <si>
    <t>01:48:12:05</t>
  </si>
  <si>
    <t>01:52:53:26</t>
  </si>
  <si>
    <t>none</t>
  </si>
  <si>
    <t>na</t>
  </si>
  <si>
    <t>on either side and above DOE camera aimed straight ahead and down at -20 degrees</t>
  </si>
  <si>
    <t>on either side and above DOE camera aimed slightly inward and down at -30 degrees</t>
  </si>
  <si>
    <t>yes</t>
  </si>
  <si>
    <t>no</t>
  </si>
  <si>
    <t>Tidbit #8</t>
  </si>
  <si>
    <t>Event_ID</t>
  </si>
  <si>
    <t>new</t>
  </si>
  <si>
    <t>original</t>
  </si>
  <si>
    <t>Dive_trans</t>
  </si>
  <si>
    <t>ye, I recorded as 26890 &amp; subadult</t>
  </si>
  <si>
    <t>ye, I recorded as 14920 &amp; juvenile</t>
  </si>
  <si>
    <t>ye, I recorded as 25699 juvenile</t>
  </si>
  <si>
    <t>ye, I recorded as 31982 &amp; subadult</t>
  </si>
  <si>
    <t>ye, I recorded s 38860 &amp; subadult</t>
  </si>
  <si>
    <t>ye, more like 15:35:52.07, missed in stereo, Added as frame 31711 jye (spec. 51)</t>
  </si>
  <si>
    <t>ye, more like 15:41:15, missed in stereo. Added as frame 41354 as jye (spec. 50)</t>
  </si>
  <si>
    <t>ye, my 3D point at 22786</t>
  </si>
  <si>
    <t>ye, my 3D point at 214 &amp; subadult</t>
  </si>
  <si>
    <t>ye, I called this one a canary</t>
  </si>
  <si>
    <t>ye, my 3D point at 33966</t>
  </si>
  <si>
    <t>ye, my 3D point at 53193</t>
  </si>
  <si>
    <t>ye, I recorded as frame 33769 &amp; as juv</t>
  </si>
  <si>
    <t>Pinnacles, 1 million lingcod</t>
  </si>
  <si>
    <t>6700_1</t>
  </si>
  <si>
    <t>pinnacles</t>
  </si>
  <si>
    <t>19fa_pinna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</si>
</sst>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
    <numFmt numFmtId="165" formatCode="hh:mm:ss:ss"/>
  </numFmts>
  <fonts count="5" x14ac:knownFonts="1">
    <font>
      <sz val="10"/>
      <name val="Arial"/>
    </font>
    <font>
      <sz val="8"/>
      <name val="Arial"/>
      <family val="2"/>
    </font>
    <font>
      <b/>
      <sz val="12"/>
      <name val="Arial"/>
      <family val="2"/>
    </font>
    <font>
      <sz val="10"/>
      <name val="Arial"/>
      <family val="2"/>
    </font>
    <font>
      <sz val="10"/>
      <color rgb="FFFF0000"/>
      <name val="Arial"/>
      <family val="2"/>
    </font>
  </fonts>
  <fills count="4">
    <fill>
      <patternFill patternType="none"/>
    </fill>
    <fill>
      <patternFill patternType="gray125"/>
    </fill>
    <fill>
      <patternFill patternType="solid">
        <fgColor rgb="FF92D050"/>
        <bgColor indexed="64"/>
      </patternFill>
    </fill>
    <fill>
      <patternFill patternType="solid">
        <fgColor theme="7" tint="0.59999389629810485"/>
        <bgColor indexed="64"/>
      </patternFill>
    </fill>
  </fills>
  <borders count="2">
    <border>
      <left/>
      <right/>
      <top/>
      <bottom/>
      <diagonal/>
    </border>
    <border>
      <left/>
      <right/>
      <top/>
      <bottom style="thin">
        <color indexed="64"/>
      </bottom>
      <diagonal/>
    </border>
  </borders>
  <cellStyleXfs count="1">
    <xf numFmtId="0" fontId="0" fillId="0" borderId="0"/>
  </cellStyleXfs>
  <cellXfs count="29">
    <xf numFmtId="0" fontId="0" fillId="0" borderId="0" xfId="0"/>
    <xf numFmtId="16" fontId="0" fillId="0" borderId="0" xfId="0" applyNumberFormat="1"/>
    <xf numFmtId="1" fontId="0" fillId="0" borderId="0" xfId="0" applyNumberFormat="1"/>
    <xf numFmtId="0" fontId="0" fillId="0" borderId="1" xfId="0" applyBorder="1"/>
    <xf numFmtId="0" fontId="0" fillId="0" borderId="0" xfId="0" applyFill="1" applyBorder="1"/>
    <xf numFmtId="14" fontId="0" fillId="0" borderId="0" xfId="0" applyNumberFormat="1"/>
    <xf numFmtId="14" fontId="0" fillId="0" borderId="0" xfId="0" applyNumberFormat="1" applyFill="1" applyBorder="1"/>
    <xf numFmtId="0" fontId="2" fillId="0" borderId="0" xfId="0" applyFont="1" applyFill="1" applyAlignment="1">
      <alignment horizontal="centerContinuous" vertical="center"/>
    </xf>
    <xf numFmtId="21" fontId="0" fillId="0" borderId="0" xfId="0" applyNumberFormat="1" applyFill="1" applyBorder="1"/>
    <xf numFmtId="46" fontId="0" fillId="0" borderId="0" xfId="0" applyNumberFormat="1" applyFill="1" applyBorder="1"/>
    <xf numFmtId="21" fontId="0" fillId="0" borderId="0" xfId="0" applyNumberFormat="1"/>
    <xf numFmtId="0" fontId="0" fillId="0" borderId="0" xfId="0" applyNumberFormat="1"/>
    <xf numFmtId="164" fontId="0" fillId="0" borderId="0" xfId="0" applyNumberFormat="1" applyFill="1" applyBorder="1"/>
    <xf numFmtId="164" fontId="0" fillId="0" borderId="0" xfId="0" applyNumberFormat="1"/>
    <xf numFmtId="0" fontId="3" fillId="0" borderId="0" xfId="0" applyFont="1"/>
    <xf numFmtId="0" fontId="3" fillId="0" borderId="0" xfId="0" applyFont="1" applyFill="1" applyBorder="1"/>
    <xf numFmtId="165" fontId="3" fillId="0" borderId="0" xfId="0" applyNumberFormat="1" applyFont="1" applyFill="1" applyBorder="1"/>
    <xf numFmtId="165" fontId="3" fillId="0" borderId="0" xfId="0" applyNumberFormat="1" applyFont="1"/>
    <xf numFmtId="0" fontId="0" fillId="0" borderId="0" xfId="0" applyNumberFormat="1" applyFill="1"/>
    <xf numFmtId="0" fontId="0" fillId="0" borderId="0" xfId="0" applyFill="1"/>
    <xf numFmtId="20" fontId="0" fillId="0" borderId="0" xfId="0" applyNumberFormat="1" applyFill="1"/>
    <xf numFmtId="0" fontId="0" fillId="2" borderId="0" xfId="0" applyFont="1" applyFill="1" applyBorder="1"/>
    <xf numFmtId="0" fontId="0" fillId="2" borderId="0" xfId="0" applyFill="1" applyBorder="1"/>
    <xf numFmtId="0" fontId="3" fillId="2" borderId="0" xfId="0" applyFont="1" applyFill="1" applyBorder="1"/>
    <xf numFmtId="0" fontId="0" fillId="3" borderId="0" xfId="0" applyFill="1"/>
    <xf numFmtId="0" fontId="4" fillId="3" borderId="0" xfId="0" applyFont="1" applyFill="1"/>
    <xf numFmtId="0" fontId="3" fillId="3" borderId="0" xfId="0" applyFont="1" applyFill="1"/>
    <xf numFmtId="1" fontId="0" fillId="0" borderId="1" xfId="0" applyNumberFormat="1" applyBorder="1" applyAlignment="1">
      <alignment horizontal="center"/>
    </xf>
    <xf numFmtId="0" fontId="3" fillId="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257175</xdr:colOff>
      <xdr:row>1</xdr:row>
      <xdr:rowOff>38100</xdr:rowOff>
    </xdr:from>
    <xdr:to>
      <xdr:col>12</xdr:col>
      <xdr:colOff>9525</xdr:colOff>
      <xdr:row>12</xdr:row>
      <xdr:rowOff>57150</xdr:rowOff>
    </xdr:to>
    <xdr:sp macro="" textlink="">
      <xdr:nvSpPr>
        <xdr:cNvPr id="2" name="TextBox 1"/>
        <xdr:cNvSpPr txBox="1"/>
      </xdr:nvSpPr>
      <xdr:spPr>
        <a:xfrm>
          <a:off x="257175" y="200025"/>
          <a:ext cx="7067550" cy="180022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2012 when data</a:t>
          </a:r>
          <a:r>
            <a:rPr lang="en-US" sz="1100" baseline="0"/>
            <a:t> were reviewed using Event Measure , left and right stereo cameras were sychronized with time. However, the time when synchronization occurred was not entered into event measure. Consequently, the elapsed time outputted by event measure  could not be matched to the actual time on the video overlay.  As a result, Martina went back and reviewed video for species observation times that are in the species table. This however, was not done for length observations. </a:t>
          </a:r>
        </a:p>
        <a:p>
          <a:endParaRPr lang="en-US" sz="1100" baseline="0"/>
        </a:p>
        <a:p>
          <a:r>
            <a:rPr lang="en-US" sz="1100" baseline="0"/>
            <a:t>After 2012, actual observation times were recorded by event measure.</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9"/>
  <sheetViews>
    <sheetView tabSelected="1" workbookViewId="0">
      <pane ySplit="1" topLeftCell="A2" activePane="bottomLeft" state="frozen"/>
      <selection pane="bottomLeft" activeCell="J8" sqref="J8"/>
    </sheetView>
  </sheetViews>
  <sheetFormatPr defaultRowHeight="12.75" x14ac:dyDescent="0.2"/>
  <cols>
    <col min="1" max="1" width="9.140625" style="6"/>
    <col min="2" max="2" width="11.28515625" style="4" bestFit="1" customWidth="1"/>
    <col min="3" max="3" width="8.140625" style="4" bestFit="1" customWidth="1"/>
    <col min="4" max="4" width="8.140625" style="22" customWidth="1"/>
    <col min="5" max="5" width="12.140625" style="4" customWidth="1"/>
    <col min="6" max="6" width="10.42578125" style="4" customWidth="1"/>
    <col min="7" max="7" width="12.28515625" style="4" customWidth="1"/>
    <col min="8" max="8" width="12.28515625" style="22" customWidth="1"/>
    <col min="9" max="9" width="9.85546875" style="4" bestFit="1" customWidth="1"/>
    <col min="10" max="10" width="11.140625" style="4" customWidth="1"/>
    <col min="11" max="11" width="15.28515625" style="4" customWidth="1"/>
    <col min="12" max="12" width="10.28515625" style="4" customWidth="1"/>
    <col min="13" max="13" width="62.7109375" style="4" customWidth="1"/>
    <col min="14" max="16384" width="9.140625" style="4"/>
  </cols>
  <sheetData>
    <row r="1" spans="1:13" x14ac:dyDescent="0.2">
      <c r="A1" s="6" t="s">
        <v>0</v>
      </c>
      <c r="B1" s="4" t="s">
        <v>35</v>
      </c>
      <c r="C1" s="4" t="s">
        <v>1</v>
      </c>
      <c r="D1" s="23" t="s">
        <v>345</v>
      </c>
      <c r="E1" s="4" t="s">
        <v>36</v>
      </c>
      <c r="F1" s="4" t="s">
        <v>34</v>
      </c>
      <c r="G1" s="4" t="s">
        <v>2</v>
      </c>
      <c r="H1" s="21" t="s">
        <v>342</v>
      </c>
      <c r="I1" s="4" t="s">
        <v>3</v>
      </c>
      <c r="J1" s="4" t="s">
        <v>4</v>
      </c>
      <c r="K1" s="4" t="s">
        <v>5</v>
      </c>
      <c r="L1" s="4" t="s">
        <v>6</v>
      </c>
      <c r="M1" s="4" t="s">
        <v>7</v>
      </c>
    </row>
    <row r="2" spans="1:13" x14ac:dyDescent="0.2">
      <c r="A2" s="6">
        <v>41141</v>
      </c>
      <c r="B2" s="4">
        <v>6700</v>
      </c>
      <c r="C2" s="4">
        <v>1</v>
      </c>
      <c r="D2" s="23">
        <v>67001</v>
      </c>
      <c r="G2" s="4" t="s">
        <v>361</v>
      </c>
      <c r="H2" s="21" t="s">
        <v>362</v>
      </c>
      <c r="I2" s="4" t="s">
        <v>339</v>
      </c>
      <c r="L2" s="4">
        <v>8</v>
      </c>
    </row>
    <row r="3" spans="1:13" x14ac:dyDescent="0.2">
      <c r="A3" s="6">
        <v>41139</v>
      </c>
      <c r="B3" s="4">
        <v>6738</v>
      </c>
      <c r="C3" s="4">
        <v>2</v>
      </c>
      <c r="D3" s="22" t="str">
        <f>CONCATENATE(B3,C3)</f>
        <v>67382</v>
      </c>
      <c r="E3" s="4">
        <v>4</v>
      </c>
      <c r="F3" s="4">
        <v>169</v>
      </c>
      <c r="G3" s="4" t="s">
        <v>344</v>
      </c>
      <c r="H3" s="22" t="str">
        <f t="shared" ref="H3:H49" si="0">CONCATENATE(E3,"_",F3,"_",(LEFT(G3,1)))</f>
        <v>4_169_o</v>
      </c>
      <c r="I3" s="4" t="s">
        <v>339</v>
      </c>
      <c r="L3" s="4">
        <v>8</v>
      </c>
    </row>
    <row r="4" spans="1:13" x14ac:dyDescent="0.2">
      <c r="A4" s="6">
        <v>41139</v>
      </c>
      <c r="B4" s="4">
        <v>6738</v>
      </c>
      <c r="C4" s="4">
        <v>1</v>
      </c>
      <c r="D4" s="22" t="str">
        <f t="shared" ref="D4:D49" si="1">CONCATENATE(B4,C4)</f>
        <v>67381</v>
      </c>
      <c r="E4" s="4">
        <v>3</v>
      </c>
      <c r="F4" s="4">
        <v>222</v>
      </c>
      <c r="G4" s="4" t="s">
        <v>344</v>
      </c>
      <c r="H4" s="22" t="str">
        <f t="shared" si="0"/>
        <v>3_222_o</v>
      </c>
      <c r="I4" s="4" t="s">
        <v>339</v>
      </c>
      <c r="L4" s="4">
        <v>8</v>
      </c>
    </row>
    <row r="5" spans="1:13" x14ac:dyDescent="0.2">
      <c r="A5" s="6">
        <v>41139</v>
      </c>
      <c r="B5" s="4">
        <v>6736</v>
      </c>
      <c r="C5" s="4">
        <v>1</v>
      </c>
      <c r="D5" s="22" t="str">
        <f t="shared" si="1"/>
        <v>67361</v>
      </c>
      <c r="E5" s="4">
        <v>1</v>
      </c>
      <c r="F5" s="4">
        <v>208</v>
      </c>
      <c r="G5" s="4" t="s">
        <v>344</v>
      </c>
      <c r="H5" s="22" t="str">
        <f t="shared" si="0"/>
        <v>1_208_o</v>
      </c>
      <c r="I5" s="4" t="s">
        <v>339</v>
      </c>
      <c r="L5" s="4">
        <v>8</v>
      </c>
    </row>
    <row r="6" spans="1:13" x14ac:dyDescent="0.2">
      <c r="A6" s="6">
        <v>41139</v>
      </c>
      <c r="B6" s="4">
        <v>6736</v>
      </c>
      <c r="C6" s="4">
        <v>2</v>
      </c>
      <c r="D6" s="22" t="str">
        <f t="shared" si="1"/>
        <v>67362</v>
      </c>
      <c r="E6" s="4">
        <v>2</v>
      </c>
      <c r="F6" s="4">
        <v>190</v>
      </c>
      <c r="G6" s="4" t="s">
        <v>344</v>
      </c>
      <c r="H6" s="22" t="str">
        <f t="shared" si="0"/>
        <v>2_190_o</v>
      </c>
      <c r="I6" s="4" t="s">
        <v>339</v>
      </c>
      <c r="L6" s="4">
        <v>8</v>
      </c>
    </row>
    <row r="7" spans="1:13" x14ac:dyDescent="0.2">
      <c r="A7" s="6">
        <v>41140</v>
      </c>
      <c r="B7" s="4">
        <v>6739</v>
      </c>
      <c r="C7" s="4">
        <v>1</v>
      </c>
      <c r="D7" s="22" t="str">
        <f t="shared" si="1"/>
        <v>67391</v>
      </c>
      <c r="E7" s="4">
        <v>6</v>
      </c>
      <c r="F7" s="4">
        <v>136</v>
      </c>
      <c r="G7" s="4" t="s">
        <v>344</v>
      </c>
      <c r="H7" s="22" t="str">
        <f t="shared" si="0"/>
        <v>6_136_o</v>
      </c>
      <c r="I7" s="4" t="s">
        <v>339</v>
      </c>
      <c r="L7" s="4">
        <v>8</v>
      </c>
    </row>
    <row r="8" spans="1:13" x14ac:dyDescent="0.2">
      <c r="A8" s="6">
        <v>41140</v>
      </c>
      <c r="B8" s="4">
        <v>6739</v>
      </c>
      <c r="C8" s="4">
        <v>2</v>
      </c>
      <c r="D8" s="22" t="str">
        <f t="shared" si="1"/>
        <v>67392</v>
      </c>
      <c r="E8" s="4">
        <v>5</v>
      </c>
      <c r="F8" s="4">
        <v>135</v>
      </c>
      <c r="G8" s="4" t="s">
        <v>344</v>
      </c>
      <c r="H8" s="22" t="str">
        <f t="shared" si="0"/>
        <v>5_135_o</v>
      </c>
      <c r="I8" s="4" t="s">
        <v>339</v>
      </c>
      <c r="L8" s="4">
        <v>8</v>
      </c>
    </row>
    <row r="9" spans="1:13" x14ac:dyDescent="0.2">
      <c r="A9" s="6">
        <v>41140</v>
      </c>
      <c r="B9" s="4">
        <v>6740</v>
      </c>
      <c r="C9" s="4">
        <v>1</v>
      </c>
      <c r="D9" s="22" t="str">
        <f t="shared" si="1"/>
        <v>67401</v>
      </c>
      <c r="E9" s="4">
        <v>7</v>
      </c>
      <c r="F9" s="4">
        <v>95</v>
      </c>
      <c r="G9" s="4" t="s">
        <v>344</v>
      </c>
      <c r="H9" s="22" t="str">
        <f t="shared" si="0"/>
        <v>7_95_o</v>
      </c>
      <c r="I9" s="4" t="s">
        <v>339</v>
      </c>
      <c r="L9" s="4">
        <v>8</v>
      </c>
    </row>
    <row r="10" spans="1:13" x14ac:dyDescent="0.2">
      <c r="A10" s="6">
        <v>41140</v>
      </c>
      <c r="B10" s="4">
        <v>6741</v>
      </c>
      <c r="C10" s="4">
        <v>2</v>
      </c>
      <c r="D10" s="22" t="str">
        <f t="shared" si="1"/>
        <v>67412</v>
      </c>
      <c r="E10" s="4">
        <v>9</v>
      </c>
      <c r="F10" s="4">
        <v>99</v>
      </c>
      <c r="G10" s="4" t="s">
        <v>344</v>
      </c>
      <c r="H10" s="22" t="str">
        <f t="shared" si="0"/>
        <v>9_99_o</v>
      </c>
      <c r="I10" s="4" t="s">
        <v>339</v>
      </c>
      <c r="L10" s="4">
        <v>8</v>
      </c>
    </row>
    <row r="11" spans="1:13" x14ac:dyDescent="0.2">
      <c r="A11" s="6">
        <v>41140</v>
      </c>
      <c r="B11" s="4">
        <v>6741</v>
      </c>
      <c r="C11" s="4">
        <v>1</v>
      </c>
      <c r="D11" s="22" t="str">
        <f t="shared" si="1"/>
        <v>67411</v>
      </c>
      <c r="E11" s="4">
        <v>8</v>
      </c>
      <c r="F11" s="4">
        <v>97</v>
      </c>
      <c r="G11" s="4" t="s">
        <v>344</v>
      </c>
      <c r="H11" s="22" t="str">
        <f t="shared" si="0"/>
        <v>8_97_o</v>
      </c>
      <c r="I11" s="4" t="s">
        <v>339</v>
      </c>
      <c r="L11" s="4">
        <v>8</v>
      </c>
    </row>
    <row r="12" spans="1:13" x14ac:dyDescent="0.2">
      <c r="A12" s="6">
        <v>41140</v>
      </c>
      <c r="B12" s="4">
        <v>6742</v>
      </c>
      <c r="C12" s="4">
        <v>2</v>
      </c>
      <c r="D12" s="22" t="str">
        <f t="shared" si="1"/>
        <v>67422</v>
      </c>
      <c r="E12" s="4">
        <v>11</v>
      </c>
      <c r="F12" s="4">
        <v>196</v>
      </c>
      <c r="G12" s="4" t="s">
        <v>344</v>
      </c>
      <c r="H12" s="22" t="str">
        <f t="shared" si="0"/>
        <v>11_196_o</v>
      </c>
      <c r="I12" s="4" t="s">
        <v>339</v>
      </c>
      <c r="L12" s="4">
        <v>8</v>
      </c>
    </row>
    <row r="13" spans="1:13" x14ac:dyDescent="0.2">
      <c r="A13" s="6">
        <v>41140</v>
      </c>
      <c r="B13" s="4">
        <v>6742</v>
      </c>
      <c r="C13" s="4">
        <v>1</v>
      </c>
      <c r="D13" s="22" t="str">
        <f t="shared" si="1"/>
        <v>67421</v>
      </c>
      <c r="E13" s="4">
        <v>10</v>
      </c>
      <c r="F13" s="4">
        <v>186</v>
      </c>
      <c r="G13" s="4" t="s">
        <v>344</v>
      </c>
      <c r="H13" s="22" t="str">
        <f t="shared" si="0"/>
        <v>10_186_o</v>
      </c>
      <c r="I13" s="4" t="s">
        <v>339</v>
      </c>
      <c r="L13" s="4">
        <v>8</v>
      </c>
    </row>
    <row r="14" spans="1:13" x14ac:dyDescent="0.2">
      <c r="A14" s="6">
        <v>41140</v>
      </c>
      <c r="B14" s="4">
        <v>6746</v>
      </c>
      <c r="C14" s="4">
        <v>2</v>
      </c>
      <c r="D14" s="22" t="str">
        <f t="shared" si="1"/>
        <v>67462</v>
      </c>
      <c r="E14" s="4">
        <v>17</v>
      </c>
      <c r="F14" s="4">
        <v>134</v>
      </c>
      <c r="G14" s="4" t="s">
        <v>344</v>
      </c>
      <c r="H14" s="22" t="str">
        <f t="shared" si="0"/>
        <v>17_134_o</v>
      </c>
      <c r="I14" s="4" t="s">
        <v>339</v>
      </c>
      <c r="L14" s="4">
        <v>8</v>
      </c>
    </row>
    <row r="15" spans="1:13" x14ac:dyDescent="0.2">
      <c r="A15" s="6">
        <v>41140</v>
      </c>
      <c r="B15" s="4">
        <v>6746</v>
      </c>
      <c r="C15" s="4">
        <v>1</v>
      </c>
      <c r="D15" s="22" t="str">
        <f t="shared" si="1"/>
        <v>67461</v>
      </c>
      <c r="E15" s="4">
        <v>16</v>
      </c>
      <c r="F15" s="4">
        <v>150</v>
      </c>
      <c r="G15" s="4" t="s">
        <v>344</v>
      </c>
      <c r="H15" s="22" t="str">
        <f t="shared" si="0"/>
        <v>16_150_o</v>
      </c>
      <c r="I15" s="4" t="s">
        <v>339</v>
      </c>
      <c r="L15" s="4">
        <v>8</v>
      </c>
    </row>
    <row r="16" spans="1:13" x14ac:dyDescent="0.2">
      <c r="A16" s="6">
        <v>41141</v>
      </c>
      <c r="B16" s="4">
        <v>6745</v>
      </c>
      <c r="C16" s="4">
        <v>2</v>
      </c>
      <c r="D16" s="22" t="str">
        <f t="shared" si="1"/>
        <v>67452</v>
      </c>
      <c r="E16" s="4">
        <v>13</v>
      </c>
      <c r="F16" s="4">
        <v>109</v>
      </c>
      <c r="G16" s="4" t="s">
        <v>344</v>
      </c>
      <c r="H16" s="22" t="str">
        <f t="shared" si="0"/>
        <v>13_109_o</v>
      </c>
      <c r="I16" s="4" t="s">
        <v>339</v>
      </c>
      <c r="L16" s="4">
        <v>8</v>
      </c>
    </row>
    <row r="17" spans="1:13" x14ac:dyDescent="0.2">
      <c r="A17" s="6">
        <v>41141</v>
      </c>
      <c r="B17" s="4">
        <v>6745</v>
      </c>
      <c r="C17" s="4">
        <v>1</v>
      </c>
      <c r="D17" s="22" t="str">
        <f t="shared" si="1"/>
        <v>67451</v>
      </c>
      <c r="E17" s="4">
        <v>12</v>
      </c>
      <c r="F17" s="4">
        <v>90</v>
      </c>
      <c r="G17" s="4" t="s">
        <v>343</v>
      </c>
      <c r="H17" s="22" t="str">
        <f t="shared" si="0"/>
        <v>12_90_n</v>
      </c>
      <c r="I17" s="4" t="s">
        <v>339</v>
      </c>
      <c r="L17" s="4">
        <v>8</v>
      </c>
    </row>
    <row r="18" spans="1:13" x14ac:dyDescent="0.2">
      <c r="A18" s="6">
        <v>41141</v>
      </c>
      <c r="B18" s="4">
        <v>6744</v>
      </c>
      <c r="C18" s="4">
        <v>2</v>
      </c>
      <c r="D18" s="22" t="str">
        <f t="shared" si="1"/>
        <v>67442</v>
      </c>
      <c r="E18" s="4">
        <v>15</v>
      </c>
      <c r="F18" s="4">
        <v>143</v>
      </c>
      <c r="G18" s="4" t="s">
        <v>344</v>
      </c>
      <c r="H18" s="22" t="str">
        <f t="shared" si="0"/>
        <v>15_143_o</v>
      </c>
      <c r="I18" s="4" t="s">
        <v>339</v>
      </c>
      <c r="L18" s="4">
        <v>8</v>
      </c>
    </row>
    <row r="19" spans="1:13" x14ac:dyDescent="0.2">
      <c r="A19" s="6">
        <v>41141</v>
      </c>
      <c r="B19" s="4">
        <v>6744</v>
      </c>
      <c r="C19" s="4">
        <v>1</v>
      </c>
      <c r="D19" s="22" t="str">
        <f t="shared" si="1"/>
        <v>67441</v>
      </c>
      <c r="E19" s="4">
        <v>14</v>
      </c>
      <c r="F19" s="4">
        <v>107</v>
      </c>
      <c r="G19" s="4" t="s">
        <v>344</v>
      </c>
      <c r="H19" s="22" t="str">
        <f t="shared" si="0"/>
        <v>14_107_o</v>
      </c>
      <c r="I19" s="4" t="s">
        <v>339</v>
      </c>
      <c r="L19" s="4">
        <v>8</v>
      </c>
    </row>
    <row r="20" spans="1:13" x14ac:dyDescent="0.2">
      <c r="A20" s="6">
        <v>41141</v>
      </c>
      <c r="B20" s="4">
        <v>6747</v>
      </c>
      <c r="C20" s="4">
        <v>2</v>
      </c>
      <c r="D20" s="22" t="str">
        <f t="shared" si="1"/>
        <v>67472</v>
      </c>
      <c r="E20" s="4">
        <v>19</v>
      </c>
      <c r="F20" s="4">
        <v>97</v>
      </c>
      <c r="G20" s="4" t="s">
        <v>344</v>
      </c>
      <c r="H20" s="22" t="str">
        <f t="shared" si="0"/>
        <v>19_97_o</v>
      </c>
      <c r="I20" s="4" t="s">
        <v>339</v>
      </c>
      <c r="L20" s="4">
        <v>8</v>
      </c>
    </row>
    <row r="21" spans="1:13" x14ac:dyDescent="0.2">
      <c r="A21" s="6">
        <v>41141</v>
      </c>
      <c r="B21" s="4">
        <v>6747</v>
      </c>
      <c r="C21" s="4">
        <v>1</v>
      </c>
      <c r="D21" s="22" t="str">
        <f t="shared" si="1"/>
        <v>67471</v>
      </c>
      <c r="E21" s="4">
        <v>18</v>
      </c>
      <c r="F21" s="4">
        <v>94</v>
      </c>
      <c r="G21" s="4" t="s">
        <v>344</v>
      </c>
      <c r="H21" s="22" t="str">
        <f t="shared" si="0"/>
        <v>18_94_o</v>
      </c>
      <c r="I21" s="4" t="s">
        <v>339</v>
      </c>
      <c r="L21" s="4">
        <v>8</v>
      </c>
    </row>
    <row r="22" spans="1:13" x14ac:dyDescent="0.2">
      <c r="A22" s="6">
        <v>41141</v>
      </c>
      <c r="B22" s="4">
        <v>6748</v>
      </c>
      <c r="C22" s="4">
        <v>2</v>
      </c>
      <c r="D22" s="22" t="str">
        <f t="shared" si="1"/>
        <v>67482</v>
      </c>
      <c r="E22" s="4">
        <v>21</v>
      </c>
      <c r="F22" s="4">
        <v>142</v>
      </c>
      <c r="G22" s="4" t="s">
        <v>344</v>
      </c>
      <c r="H22" s="22" t="str">
        <f t="shared" si="0"/>
        <v>21_142_o</v>
      </c>
      <c r="I22" s="4" t="s">
        <v>339</v>
      </c>
      <c r="L22" s="4">
        <v>8</v>
      </c>
    </row>
    <row r="23" spans="1:13" x14ac:dyDescent="0.2">
      <c r="A23" s="6">
        <v>41141</v>
      </c>
      <c r="B23" s="4">
        <v>6748</v>
      </c>
      <c r="C23" s="4">
        <v>3</v>
      </c>
      <c r="D23" s="22" t="str">
        <f t="shared" si="1"/>
        <v>67483</v>
      </c>
      <c r="E23" s="4">
        <v>20</v>
      </c>
      <c r="F23" s="4">
        <v>149</v>
      </c>
      <c r="G23" s="4" t="s">
        <v>344</v>
      </c>
      <c r="H23" s="22" t="str">
        <f t="shared" si="0"/>
        <v>20_149_o</v>
      </c>
      <c r="I23" s="4" t="s">
        <v>339</v>
      </c>
      <c r="L23" s="4">
        <v>8</v>
      </c>
    </row>
    <row r="24" spans="1:13" x14ac:dyDescent="0.2">
      <c r="A24" s="6">
        <v>41142</v>
      </c>
      <c r="B24" s="4">
        <v>6755</v>
      </c>
      <c r="C24" s="4">
        <v>2</v>
      </c>
      <c r="D24" s="22" t="str">
        <f t="shared" si="1"/>
        <v>67552</v>
      </c>
      <c r="E24" s="4">
        <v>28</v>
      </c>
      <c r="F24" s="4">
        <v>265</v>
      </c>
      <c r="G24" s="4" t="s">
        <v>344</v>
      </c>
      <c r="H24" s="22" t="str">
        <f t="shared" si="0"/>
        <v>28_265_o</v>
      </c>
      <c r="I24" s="4" t="s">
        <v>339</v>
      </c>
      <c r="L24" s="4">
        <v>8</v>
      </c>
      <c r="M24" s="4" t="s">
        <v>188</v>
      </c>
    </row>
    <row r="25" spans="1:13" x14ac:dyDescent="0.2">
      <c r="A25" s="6">
        <v>41142</v>
      </c>
      <c r="B25" s="4">
        <v>6755</v>
      </c>
      <c r="C25" s="4">
        <v>1</v>
      </c>
      <c r="D25" s="22" t="str">
        <f t="shared" si="1"/>
        <v>67551</v>
      </c>
      <c r="E25" s="4">
        <v>27</v>
      </c>
      <c r="F25" s="4">
        <v>260</v>
      </c>
      <c r="G25" s="4" t="s">
        <v>344</v>
      </c>
      <c r="H25" s="22" t="str">
        <f t="shared" si="0"/>
        <v>27_260_o</v>
      </c>
      <c r="I25" s="4" t="s">
        <v>339</v>
      </c>
      <c r="L25" s="4">
        <v>8</v>
      </c>
    </row>
    <row r="26" spans="1:13" x14ac:dyDescent="0.2">
      <c r="A26" s="6">
        <v>41142</v>
      </c>
      <c r="B26" s="4">
        <v>6754</v>
      </c>
      <c r="C26" s="4">
        <v>1</v>
      </c>
      <c r="D26" s="22" t="str">
        <f t="shared" si="1"/>
        <v>67541</v>
      </c>
      <c r="E26" s="4">
        <v>26</v>
      </c>
      <c r="F26" s="4">
        <v>260</v>
      </c>
      <c r="G26" s="4" t="s">
        <v>344</v>
      </c>
      <c r="H26" s="22" t="str">
        <f t="shared" si="0"/>
        <v>26_260_o</v>
      </c>
      <c r="I26" s="4" t="s">
        <v>339</v>
      </c>
      <c r="L26" s="4">
        <v>8</v>
      </c>
    </row>
    <row r="27" spans="1:13" x14ac:dyDescent="0.2">
      <c r="A27" s="6">
        <v>41142</v>
      </c>
      <c r="B27" s="4">
        <v>6749</v>
      </c>
      <c r="C27" s="4">
        <v>1</v>
      </c>
      <c r="D27" s="22" t="str">
        <f t="shared" si="1"/>
        <v>67491</v>
      </c>
      <c r="E27" s="4">
        <v>22</v>
      </c>
      <c r="F27" s="4">
        <v>261</v>
      </c>
      <c r="G27" s="4" t="s">
        <v>344</v>
      </c>
      <c r="H27" s="22" t="str">
        <f t="shared" si="0"/>
        <v>22_261_o</v>
      </c>
      <c r="I27" s="4" t="s">
        <v>339</v>
      </c>
      <c r="L27" s="4">
        <v>8</v>
      </c>
    </row>
    <row r="28" spans="1:13" x14ac:dyDescent="0.2">
      <c r="A28" s="6">
        <v>41142</v>
      </c>
      <c r="B28" s="4">
        <v>6749</v>
      </c>
      <c r="C28" s="4">
        <v>2</v>
      </c>
      <c r="D28" s="22" t="str">
        <f t="shared" si="1"/>
        <v>67492</v>
      </c>
      <c r="E28" s="4">
        <v>23</v>
      </c>
      <c r="F28" s="4">
        <v>202</v>
      </c>
      <c r="G28" s="4" t="s">
        <v>344</v>
      </c>
      <c r="H28" s="22" t="str">
        <f t="shared" si="0"/>
        <v>23_202_o</v>
      </c>
      <c r="I28" s="4" t="s">
        <v>339</v>
      </c>
      <c r="L28" s="4">
        <v>8</v>
      </c>
    </row>
    <row r="29" spans="1:13" x14ac:dyDescent="0.2">
      <c r="A29" s="6">
        <v>41142</v>
      </c>
      <c r="B29" s="4">
        <v>6753</v>
      </c>
      <c r="C29" s="4">
        <v>2</v>
      </c>
      <c r="D29" s="22" t="str">
        <f t="shared" si="1"/>
        <v>67532</v>
      </c>
      <c r="E29" s="4">
        <v>25</v>
      </c>
      <c r="F29" s="4">
        <v>225</v>
      </c>
      <c r="G29" s="4" t="s">
        <v>344</v>
      </c>
      <c r="H29" s="22" t="str">
        <f t="shared" si="0"/>
        <v>25_225_o</v>
      </c>
      <c r="I29" s="4" t="s">
        <v>339</v>
      </c>
      <c r="L29" s="4">
        <v>8</v>
      </c>
    </row>
    <row r="30" spans="1:13" x14ac:dyDescent="0.2">
      <c r="A30" s="6">
        <v>41142</v>
      </c>
      <c r="B30" s="4">
        <v>6753</v>
      </c>
      <c r="C30" s="4">
        <v>1</v>
      </c>
      <c r="D30" s="22" t="str">
        <f t="shared" si="1"/>
        <v>67531</v>
      </c>
      <c r="E30" s="4">
        <v>24</v>
      </c>
      <c r="F30" s="4">
        <v>231</v>
      </c>
      <c r="G30" s="4" t="s">
        <v>344</v>
      </c>
      <c r="H30" s="22" t="str">
        <f t="shared" si="0"/>
        <v>24_231_o</v>
      </c>
      <c r="I30" s="4" t="s">
        <v>339</v>
      </c>
      <c r="L30" s="4">
        <v>8</v>
      </c>
    </row>
    <row r="31" spans="1:13" x14ac:dyDescent="0.2">
      <c r="A31" s="6">
        <v>41143</v>
      </c>
      <c r="B31" s="4">
        <v>6756</v>
      </c>
      <c r="C31" s="4">
        <v>2</v>
      </c>
      <c r="D31" s="22" t="str">
        <f t="shared" si="1"/>
        <v>67562</v>
      </c>
      <c r="E31" s="4">
        <v>30</v>
      </c>
      <c r="F31" s="4">
        <v>104</v>
      </c>
      <c r="G31" s="4" t="s">
        <v>344</v>
      </c>
      <c r="H31" s="22" t="str">
        <f t="shared" si="0"/>
        <v>30_104_o</v>
      </c>
      <c r="I31" s="4" t="s">
        <v>339</v>
      </c>
      <c r="L31" s="4">
        <v>8</v>
      </c>
    </row>
    <row r="32" spans="1:13" x14ac:dyDescent="0.2">
      <c r="A32" s="6">
        <v>41143</v>
      </c>
      <c r="B32" s="4">
        <v>6756</v>
      </c>
      <c r="C32" s="4">
        <v>1</v>
      </c>
      <c r="D32" s="22" t="str">
        <f t="shared" si="1"/>
        <v>67561</v>
      </c>
      <c r="E32" s="4">
        <v>29</v>
      </c>
      <c r="F32" s="4">
        <v>267</v>
      </c>
      <c r="G32" s="4" t="s">
        <v>344</v>
      </c>
      <c r="H32" s="22" t="str">
        <f t="shared" si="0"/>
        <v>29_267_o</v>
      </c>
      <c r="I32" s="4" t="s">
        <v>339</v>
      </c>
      <c r="L32" s="4">
        <v>8</v>
      </c>
    </row>
    <row r="33" spans="1:13" x14ac:dyDescent="0.2">
      <c r="A33" s="6">
        <v>41143</v>
      </c>
      <c r="B33" s="4">
        <v>6757</v>
      </c>
      <c r="C33" s="4">
        <v>2</v>
      </c>
      <c r="D33" s="22" t="str">
        <f t="shared" si="1"/>
        <v>67572</v>
      </c>
      <c r="E33" s="4">
        <v>32</v>
      </c>
      <c r="F33" s="4">
        <v>236</v>
      </c>
      <c r="G33" s="4" t="s">
        <v>344</v>
      </c>
      <c r="H33" s="22" t="str">
        <f t="shared" si="0"/>
        <v>32_236_o</v>
      </c>
      <c r="I33" s="4" t="s">
        <v>339</v>
      </c>
      <c r="L33" s="4">
        <v>8</v>
      </c>
    </row>
    <row r="34" spans="1:13" x14ac:dyDescent="0.2">
      <c r="A34" s="6">
        <v>41143</v>
      </c>
      <c r="B34" s="4">
        <v>6757</v>
      </c>
      <c r="C34" s="4">
        <v>1</v>
      </c>
      <c r="D34" s="22" t="str">
        <f t="shared" si="1"/>
        <v>67571</v>
      </c>
      <c r="E34" s="4">
        <v>31</v>
      </c>
      <c r="F34" s="4">
        <v>237</v>
      </c>
      <c r="G34" s="4" t="s">
        <v>344</v>
      </c>
      <c r="H34" s="22" t="str">
        <f t="shared" si="0"/>
        <v>31_237_o</v>
      </c>
      <c r="I34" s="4" t="s">
        <v>339</v>
      </c>
      <c r="L34" s="4">
        <v>8</v>
      </c>
    </row>
    <row r="35" spans="1:13" x14ac:dyDescent="0.2">
      <c r="A35" s="6">
        <v>41144</v>
      </c>
      <c r="B35" s="4">
        <v>6758</v>
      </c>
      <c r="C35" s="4">
        <v>1</v>
      </c>
      <c r="D35" s="22" t="str">
        <f t="shared" si="1"/>
        <v>67581</v>
      </c>
      <c r="E35" s="4">
        <v>33</v>
      </c>
      <c r="F35" s="4">
        <v>217</v>
      </c>
      <c r="G35" s="4" t="s">
        <v>344</v>
      </c>
      <c r="H35" s="22" t="str">
        <f t="shared" si="0"/>
        <v>33_217_o</v>
      </c>
      <c r="I35" s="4" t="s">
        <v>339</v>
      </c>
      <c r="L35" s="4">
        <v>8</v>
      </c>
    </row>
    <row r="36" spans="1:13" x14ac:dyDescent="0.2">
      <c r="A36" s="6">
        <v>41144</v>
      </c>
      <c r="B36" s="4">
        <v>6758</v>
      </c>
      <c r="C36" s="4">
        <v>2</v>
      </c>
      <c r="D36" s="22" t="str">
        <f t="shared" si="1"/>
        <v>67582</v>
      </c>
      <c r="E36" s="4">
        <v>34</v>
      </c>
      <c r="F36" s="4">
        <v>204</v>
      </c>
      <c r="G36" s="4" t="s">
        <v>344</v>
      </c>
      <c r="H36" s="22" t="str">
        <f t="shared" si="0"/>
        <v>34_204_o</v>
      </c>
      <c r="I36" s="4" t="s">
        <v>339</v>
      </c>
      <c r="J36" s="15"/>
      <c r="L36" s="4">
        <v>8</v>
      </c>
    </row>
    <row r="37" spans="1:13" x14ac:dyDescent="0.2">
      <c r="A37" s="6">
        <v>41144</v>
      </c>
      <c r="B37" s="15">
        <v>6759</v>
      </c>
      <c r="C37" s="4">
        <v>2</v>
      </c>
      <c r="D37" s="22" t="str">
        <f t="shared" si="1"/>
        <v>67592</v>
      </c>
      <c r="E37" s="4">
        <v>36</v>
      </c>
      <c r="F37" s="4">
        <v>239</v>
      </c>
      <c r="G37" s="4" t="s">
        <v>344</v>
      </c>
      <c r="H37" s="22" t="str">
        <f t="shared" si="0"/>
        <v>36_239_o</v>
      </c>
      <c r="I37" s="4" t="s">
        <v>339</v>
      </c>
      <c r="L37" s="4">
        <v>8</v>
      </c>
    </row>
    <row r="38" spans="1:13" x14ac:dyDescent="0.2">
      <c r="A38" s="6">
        <v>41144</v>
      </c>
      <c r="B38" s="15">
        <v>6759</v>
      </c>
      <c r="C38" s="4">
        <v>1</v>
      </c>
      <c r="D38" s="22" t="str">
        <f t="shared" si="1"/>
        <v>67591</v>
      </c>
      <c r="E38" s="4">
        <v>35</v>
      </c>
      <c r="F38" s="4">
        <v>229</v>
      </c>
      <c r="G38" s="4" t="s">
        <v>344</v>
      </c>
      <c r="H38" s="22" t="str">
        <f t="shared" si="0"/>
        <v>35_229_o</v>
      </c>
      <c r="I38" s="4" t="s">
        <v>339</v>
      </c>
      <c r="L38" s="4">
        <v>8</v>
      </c>
    </row>
    <row r="39" spans="1:13" x14ac:dyDescent="0.2">
      <c r="A39" s="6">
        <v>41146</v>
      </c>
      <c r="B39" s="4">
        <v>6760</v>
      </c>
      <c r="C39" s="4">
        <v>2</v>
      </c>
      <c r="D39" s="22" t="str">
        <f t="shared" si="1"/>
        <v>67602</v>
      </c>
      <c r="E39" s="4">
        <v>38</v>
      </c>
      <c r="F39" s="4">
        <v>203</v>
      </c>
      <c r="G39" s="4" t="s">
        <v>344</v>
      </c>
      <c r="H39" s="22" t="str">
        <f t="shared" si="0"/>
        <v>38_203_o</v>
      </c>
      <c r="I39" s="4" t="s">
        <v>340</v>
      </c>
      <c r="L39" s="4">
        <v>8</v>
      </c>
      <c r="M39" s="4" t="s">
        <v>257</v>
      </c>
    </row>
    <row r="40" spans="1:13" x14ac:dyDescent="0.2">
      <c r="A40" s="6">
        <v>41147</v>
      </c>
      <c r="B40" s="4">
        <v>6762</v>
      </c>
      <c r="C40" s="4">
        <v>1</v>
      </c>
      <c r="D40" s="22" t="str">
        <f t="shared" si="1"/>
        <v>67621</v>
      </c>
      <c r="E40" s="4">
        <v>41</v>
      </c>
      <c r="F40" s="4">
        <v>187</v>
      </c>
      <c r="G40" s="4" t="s">
        <v>344</v>
      </c>
      <c r="H40" s="22" t="str">
        <f t="shared" si="0"/>
        <v>41_187_o</v>
      </c>
      <c r="I40" s="4" t="s">
        <v>339</v>
      </c>
      <c r="L40" s="4">
        <v>8</v>
      </c>
    </row>
    <row r="41" spans="1:13" x14ac:dyDescent="0.2">
      <c r="A41" s="6">
        <v>41147</v>
      </c>
      <c r="B41" s="4">
        <v>6762</v>
      </c>
      <c r="C41" s="4">
        <v>2</v>
      </c>
      <c r="D41" s="22" t="str">
        <f t="shared" si="1"/>
        <v>67622</v>
      </c>
      <c r="E41" s="4">
        <v>42</v>
      </c>
      <c r="F41" s="4">
        <v>240</v>
      </c>
      <c r="G41" s="4" t="s">
        <v>344</v>
      </c>
      <c r="H41" s="22" t="str">
        <f t="shared" si="0"/>
        <v>42_240_o</v>
      </c>
      <c r="I41" s="4" t="s">
        <v>339</v>
      </c>
      <c r="L41" s="4">
        <v>8</v>
      </c>
    </row>
    <row r="42" spans="1:13" x14ac:dyDescent="0.2">
      <c r="A42" s="6">
        <v>41147</v>
      </c>
      <c r="B42" s="4">
        <v>6761</v>
      </c>
      <c r="C42" s="4">
        <v>1</v>
      </c>
      <c r="D42" s="22" t="str">
        <f t="shared" si="1"/>
        <v>67611</v>
      </c>
      <c r="E42" s="4">
        <v>39</v>
      </c>
      <c r="F42" s="4">
        <v>173</v>
      </c>
      <c r="G42" s="4" t="s">
        <v>344</v>
      </c>
      <c r="H42" s="22" t="str">
        <f t="shared" si="0"/>
        <v>39_173_o</v>
      </c>
      <c r="I42" s="4" t="s">
        <v>339</v>
      </c>
      <c r="L42" s="4">
        <v>8</v>
      </c>
    </row>
    <row r="43" spans="1:13" x14ac:dyDescent="0.2">
      <c r="A43" s="6">
        <v>41147</v>
      </c>
      <c r="B43" s="4">
        <v>6761</v>
      </c>
      <c r="C43" s="4">
        <v>2</v>
      </c>
      <c r="D43" s="22" t="str">
        <f t="shared" si="1"/>
        <v>67612</v>
      </c>
      <c r="E43" s="4">
        <v>40</v>
      </c>
      <c r="F43" s="4">
        <v>159</v>
      </c>
      <c r="G43" s="4" t="s">
        <v>344</v>
      </c>
      <c r="H43" s="22" t="str">
        <f t="shared" si="0"/>
        <v>40_159_o</v>
      </c>
      <c r="I43" s="4" t="s">
        <v>339</v>
      </c>
      <c r="L43" s="4">
        <v>8</v>
      </c>
    </row>
    <row r="44" spans="1:13" x14ac:dyDescent="0.2">
      <c r="A44" s="6">
        <v>41147</v>
      </c>
      <c r="B44" s="4">
        <v>6765</v>
      </c>
      <c r="C44" s="4">
        <v>2</v>
      </c>
      <c r="D44" s="22" t="str">
        <f t="shared" si="1"/>
        <v>67652</v>
      </c>
      <c r="E44" s="4">
        <v>48</v>
      </c>
      <c r="F44" s="4">
        <v>164</v>
      </c>
      <c r="G44" s="4" t="s">
        <v>344</v>
      </c>
      <c r="H44" s="22" t="str">
        <f t="shared" si="0"/>
        <v>48_164_o</v>
      </c>
      <c r="I44" s="4" t="s">
        <v>339</v>
      </c>
      <c r="L44" s="4">
        <v>8</v>
      </c>
    </row>
    <row r="45" spans="1:13" x14ac:dyDescent="0.2">
      <c r="A45" s="6">
        <v>41147</v>
      </c>
      <c r="B45" s="4">
        <v>6765</v>
      </c>
      <c r="C45" s="4">
        <v>1</v>
      </c>
      <c r="D45" s="22" t="str">
        <f t="shared" si="1"/>
        <v>67651</v>
      </c>
      <c r="E45" s="4">
        <v>47</v>
      </c>
      <c r="F45" s="4">
        <v>140</v>
      </c>
      <c r="G45" s="4" t="s">
        <v>344</v>
      </c>
      <c r="H45" s="22" t="str">
        <f t="shared" si="0"/>
        <v>47_140_o</v>
      </c>
      <c r="I45" s="4" t="s">
        <v>339</v>
      </c>
      <c r="L45" s="4">
        <v>8</v>
      </c>
    </row>
    <row r="46" spans="1:13" x14ac:dyDescent="0.2">
      <c r="A46" s="6">
        <v>41147</v>
      </c>
      <c r="B46" s="4">
        <v>6773</v>
      </c>
      <c r="C46" s="4">
        <v>1</v>
      </c>
      <c r="D46" s="22" t="str">
        <f t="shared" si="1"/>
        <v>67731</v>
      </c>
      <c r="E46" s="4">
        <v>58</v>
      </c>
      <c r="F46" s="4">
        <v>182</v>
      </c>
      <c r="G46" s="4" t="s">
        <v>344</v>
      </c>
      <c r="H46" s="22" t="str">
        <f t="shared" si="0"/>
        <v>58_182_o</v>
      </c>
      <c r="I46" s="4" t="s">
        <v>339</v>
      </c>
      <c r="L46" s="4">
        <v>8</v>
      </c>
    </row>
    <row r="47" spans="1:13" x14ac:dyDescent="0.2">
      <c r="A47" s="6">
        <v>41148</v>
      </c>
      <c r="B47" s="4">
        <v>6773</v>
      </c>
      <c r="C47" s="4">
        <v>2</v>
      </c>
      <c r="D47" s="22" t="str">
        <f t="shared" si="1"/>
        <v>67732</v>
      </c>
      <c r="E47" s="4">
        <v>59</v>
      </c>
      <c r="F47" s="4">
        <v>190</v>
      </c>
      <c r="G47" s="4" t="s">
        <v>344</v>
      </c>
      <c r="H47" s="22" t="str">
        <f t="shared" si="0"/>
        <v>59_190_o</v>
      </c>
      <c r="I47" s="4" t="s">
        <v>339</v>
      </c>
      <c r="L47" s="4">
        <v>8</v>
      </c>
    </row>
    <row r="48" spans="1:13" x14ac:dyDescent="0.2">
      <c r="A48" s="6">
        <v>41148</v>
      </c>
      <c r="B48" s="4">
        <v>6770</v>
      </c>
      <c r="C48" s="4">
        <v>1</v>
      </c>
      <c r="D48" s="22" t="str">
        <f t="shared" si="1"/>
        <v>67701</v>
      </c>
      <c r="E48" s="4">
        <v>53</v>
      </c>
      <c r="F48" s="4">
        <v>215</v>
      </c>
      <c r="G48" s="4" t="s">
        <v>344</v>
      </c>
      <c r="H48" s="22" t="str">
        <f t="shared" si="0"/>
        <v>53_215_o</v>
      </c>
      <c r="I48" s="4" t="s">
        <v>339</v>
      </c>
      <c r="L48" s="4">
        <v>8</v>
      </c>
    </row>
    <row r="49" spans="1:12" x14ac:dyDescent="0.2">
      <c r="A49" s="6">
        <v>41148</v>
      </c>
      <c r="B49" s="4">
        <v>6770</v>
      </c>
      <c r="C49" s="4">
        <v>2</v>
      </c>
      <c r="D49" s="22" t="str">
        <f t="shared" si="1"/>
        <v>67702</v>
      </c>
      <c r="E49" s="4">
        <v>54</v>
      </c>
      <c r="F49" s="4">
        <v>239</v>
      </c>
      <c r="G49" s="4" t="s">
        <v>344</v>
      </c>
      <c r="H49" s="22" t="str">
        <f t="shared" si="0"/>
        <v>54_239_o</v>
      </c>
      <c r="I49" s="4" t="s">
        <v>339</v>
      </c>
      <c r="L49" s="4">
        <v>8</v>
      </c>
    </row>
  </sheetData>
  <autoFilter ref="A1:M49"/>
  <phoneticPr fontId="1" type="noConversion"/>
  <pageMargins left="0.75" right="0.75" top="1" bottom="1" header="0.5" footer="0.5"/>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1"/>
  <sheetViews>
    <sheetView workbookViewId="0">
      <pane ySplit="1" topLeftCell="A65" activePane="bottomLeft" state="frozen"/>
      <selection pane="bottomLeft" activeCell="D85" sqref="D85"/>
    </sheetView>
  </sheetViews>
  <sheetFormatPr defaultRowHeight="12.75" x14ac:dyDescent="0.2"/>
  <cols>
    <col min="1" max="1" width="12" bestFit="1" customWidth="1"/>
    <col min="2" max="2" width="13" customWidth="1"/>
    <col min="3" max="3" width="15" customWidth="1"/>
    <col min="4" max="4" width="67.85546875" customWidth="1"/>
  </cols>
  <sheetData>
    <row r="1" spans="1:5" x14ac:dyDescent="0.2">
      <c r="A1" t="s">
        <v>42</v>
      </c>
      <c r="B1" t="s">
        <v>8</v>
      </c>
      <c r="C1" t="s">
        <v>30</v>
      </c>
      <c r="D1" t="s">
        <v>7</v>
      </c>
      <c r="E1" t="s">
        <v>49</v>
      </c>
    </row>
    <row r="2" spans="1:5" x14ac:dyDescent="0.2">
      <c r="A2" t="s">
        <v>39</v>
      </c>
      <c r="B2" t="s">
        <v>37</v>
      </c>
      <c r="C2" t="s">
        <v>31</v>
      </c>
      <c r="E2">
        <v>5</v>
      </c>
    </row>
    <row r="3" spans="1:5" x14ac:dyDescent="0.2">
      <c r="B3" t="s">
        <v>38</v>
      </c>
      <c r="C3" t="s">
        <v>32</v>
      </c>
    </row>
    <row r="4" spans="1:5" x14ac:dyDescent="0.2">
      <c r="A4" t="s">
        <v>40</v>
      </c>
      <c r="B4" t="s">
        <v>41</v>
      </c>
      <c r="C4" t="s">
        <v>31</v>
      </c>
      <c r="E4">
        <v>4</v>
      </c>
    </row>
    <row r="5" spans="1:5" x14ac:dyDescent="0.2">
      <c r="B5" t="s">
        <v>43</v>
      </c>
      <c r="C5" t="s">
        <v>32</v>
      </c>
    </row>
    <row r="6" spans="1:5" x14ac:dyDescent="0.2">
      <c r="A6" t="s">
        <v>44</v>
      </c>
      <c r="B6" t="s">
        <v>45</v>
      </c>
      <c r="C6" t="s">
        <v>31</v>
      </c>
      <c r="E6">
        <v>2</v>
      </c>
    </row>
    <row r="7" spans="1:5" x14ac:dyDescent="0.2">
      <c r="B7" t="s">
        <v>46</v>
      </c>
      <c r="C7" t="s">
        <v>32</v>
      </c>
    </row>
    <row r="8" spans="1:5" x14ac:dyDescent="0.2">
      <c r="A8" t="s">
        <v>47</v>
      </c>
      <c r="B8" t="s">
        <v>48</v>
      </c>
      <c r="C8" t="s">
        <v>31</v>
      </c>
    </row>
    <row r="9" spans="1:5" x14ac:dyDescent="0.2">
      <c r="B9" t="s">
        <v>50</v>
      </c>
      <c r="C9" t="s">
        <v>32</v>
      </c>
    </row>
    <row r="10" spans="1:5" x14ac:dyDescent="0.2">
      <c r="A10" t="s">
        <v>51</v>
      </c>
      <c r="B10" t="s">
        <v>52</v>
      </c>
      <c r="C10" t="s">
        <v>31</v>
      </c>
      <c r="E10">
        <v>1</v>
      </c>
    </row>
    <row r="11" spans="1:5" x14ac:dyDescent="0.2">
      <c r="B11" t="s">
        <v>53</v>
      </c>
      <c r="C11" t="s">
        <v>32</v>
      </c>
    </row>
    <row r="12" spans="1:5" x14ac:dyDescent="0.2">
      <c r="A12" t="s">
        <v>54</v>
      </c>
      <c r="B12" t="s">
        <v>55</v>
      </c>
      <c r="C12" t="s">
        <v>31</v>
      </c>
      <c r="E12">
        <v>2</v>
      </c>
    </row>
    <row r="13" spans="1:5" x14ac:dyDescent="0.2">
      <c r="B13" t="s">
        <v>56</v>
      </c>
      <c r="C13" t="s">
        <v>58</v>
      </c>
    </row>
    <row r="14" spans="1:5" x14ac:dyDescent="0.2">
      <c r="B14" t="s">
        <v>57</v>
      </c>
      <c r="C14" t="s">
        <v>59</v>
      </c>
    </row>
    <row r="15" spans="1:5" x14ac:dyDescent="0.2">
      <c r="B15" t="s">
        <v>60</v>
      </c>
      <c r="C15" t="s">
        <v>58</v>
      </c>
    </row>
    <row r="16" spans="1:5" x14ac:dyDescent="0.2">
      <c r="B16" t="s">
        <v>61</v>
      </c>
      <c r="C16" t="s">
        <v>59</v>
      </c>
    </row>
    <row r="17" spans="1:5" x14ac:dyDescent="0.2">
      <c r="B17" t="s">
        <v>62</v>
      </c>
      <c r="C17" t="s">
        <v>58</v>
      </c>
    </row>
    <row r="18" spans="1:5" x14ac:dyDescent="0.2">
      <c r="B18" t="s">
        <v>63</v>
      </c>
      <c r="C18" t="s">
        <v>59</v>
      </c>
    </row>
    <row r="19" spans="1:5" x14ac:dyDescent="0.2">
      <c r="B19" t="s">
        <v>64</v>
      </c>
      <c r="C19" t="s">
        <v>32</v>
      </c>
    </row>
    <row r="20" spans="1:5" x14ac:dyDescent="0.2">
      <c r="A20" t="s">
        <v>65</v>
      </c>
      <c r="B20" t="s">
        <v>66</v>
      </c>
      <c r="C20" t="s">
        <v>31</v>
      </c>
      <c r="E20">
        <v>6</v>
      </c>
    </row>
    <row r="21" spans="1:5" x14ac:dyDescent="0.2">
      <c r="B21" t="s">
        <v>67</v>
      </c>
      <c r="C21" t="s">
        <v>32</v>
      </c>
    </row>
    <row r="22" spans="1:5" x14ac:dyDescent="0.2">
      <c r="A22" t="s">
        <v>69</v>
      </c>
      <c r="B22" t="s">
        <v>70</v>
      </c>
      <c r="C22" t="s">
        <v>31</v>
      </c>
    </row>
    <row r="23" spans="1:5" x14ac:dyDescent="0.2">
      <c r="B23" t="s">
        <v>71</v>
      </c>
      <c r="C23" t="s">
        <v>32</v>
      </c>
    </row>
    <row r="24" spans="1:5" x14ac:dyDescent="0.2">
      <c r="A24" t="s">
        <v>68</v>
      </c>
      <c r="B24" t="s">
        <v>72</v>
      </c>
      <c r="C24" t="s">
        <v>31</v>
      </c>
      <c r="E24">
        <v>3</v>
      </c>
    </row>
    <row r="25" spans="1:5" x14ac:dyDescent="0.2">
      <c r="B25" t="s">
        <v>73</v>
      </c>
      <c r="C25" t="s">
        <v>32</v>
      </c>
    </row>
    <row r="26" spans="1:5" x14ac:dyDescent="0.2">
      <c r="A26" t="s">
        <v>75</v>
      </c>
      <c r="B26" t="s">
        <v>76</v>
      </c>
      <c r="C26" t="s">
        <v>31</v>
      </c>
      <c r="D26" t="s">
        <v>87</v>
      </c>
      <c r="E26">
        <v>4</v>
      </c>
    </row>
    <row r="27" spans="1:5" x14ac:dyDescent="0.2">
      <c r="B27" t="s">
        <v>77</v>
      </c>
      <c r="C27" t="s">
        <v>32</v>
      </c>
    </row>
    <row r="28" spans="1:5" x14ac:dyDescent="0.2">
      <c r="A28" t="s">
        <v>74</v>
      </c>
      <c r="B28" t="s">
        <v>78</v>
      </c>
      <c r="C28" t="s">
        <v>31</v>
      </c>
    </row>
    <row r="29" spans="1:5" x14ac:dyDescent="0.2">
      <c r="B29" t="s">
        <v>79</v>
      </c>
      <c r="C29" t="s">
        <v>32</v>
      </c>
    </row>
    <row r="30" spans="1:5" x14ac:dyDescent="0.2">
      <c r="A30" t="s">
        <v>81</v>
      </c>
      <c r="B30" t="s">
        <v>80</v>
      </c>
      <c r="C30" t="s">
        <v>31</v>
      </c>
      <c r="E30">
        <v>3</v>
      </c>
    </row>
    <row r="31" spans="1:5" x14ac:dyDescent="0.2">
      <c r="B31" t="s">
        <v>82</v>
      </c>
      <c r="C31" t="s">
        <v>32</v>
      </c>
    </row>
    <row r="32" spans="1:5" x14ac:dyDescent="0.2">
      <c r="A32" t="s">
        <v>84</v>
      </c>
      <c r="B32" t="s">
        <v>83</v>
      </c>
      <c r="C32" t="s">
        <v>31</v>
      </c>
      <c r="D32" t="s">
        <v>86</v>
      </c>
      <c r="E32">
        <v>11</v>
      </c>
    </row>
    <row r="33" spans="1:4" x14ac:dyDescent="0.2">
      <c r="B33" t="s">
        <v>85</v>
      </c>
      <c r="C33" t="s">
        <v>32</v>
      </c>
    </row>
    <row r="34" spans="1:4" ht="15.75" x14ac:dyDescent="0.2">
      <c r="D34" s="7" t="s">
        <v>136</v>
      </c>
    </row>
    <row r="35" spans="1:4" s="24" customFormat="1" x14ac:dyDescent="0.2">
      <c r="A35" s="24" t="s">
        <v>109</v>
      </c>
      <c r="B35" s="24" t="s">
        <v>110</v>
      </c>
      <c r="C35" s="24" t="s">
        <v>31</v>
      </c>
    </row>
    <row r="36" spans="1:4" s="24" customFormat="1" x14ac:dyDescent="0.2">
      <c r="B36" s="24" t="s">
        <v>112</v>
      </c>
      <c r="D36" s="26" t="s">
        <v>347</v>
      </c>
    </row>
    <row r="37" spans="1:4" s="24" customFormat="1" x14ac:dyDescent="0.2">
      <c r="B37" s="24" t="s">
        <v>113</v>
      </c>
      <c r="D37" s="26" t="s">
        <v>348</v>
      </c>
    </row>
    <row r="38" spans="1:4" s="24" customFormat="1" x14ac:dyDescent="0.2">
      <c r="B38" s="24" t="s">
        <v>114</v>
      </c>
      <c r="D38" s="26" t="s">
        <v>346</v>
      </c>
    </row>
    <row r="39" spans="1:4" s="25" customFormat="1" x14ac:dyDescent="0.2">
      <c r="B39" s="25" t="s">
        <v>115</v>
      </c>
      <c r="D39" s="25" t="s">
        <v>351</v>
      </c>
    </row>
    <row r="40" spans="1:4" s="26" customFormat="1" x14ac:dyDescent="0.2">
      <c r="B40" s="26" t="s">
        <v>116</v>
      </c>
      <c r="D40" s="26" t="s">
        <v>349</v>
      </c>
    </row>
    <row r="41" spans="1:4" s="24" customFormat="1" x14ac:dyDescent="0.2">
      <c r="B41" s="24" t="s">
        <v>117</v>
      </c>
      <c r="D41" s="26" t="s">
        <v>358</v>
      </c>
    </row>
    <row r="42" spans="1:4" s="24" customFormat="1" x14ac:dyDescent="0.2">
      <c r="B42" s="24" t="s">
        <v>118</v>
      </c>
      <c r="D42" s="26" t="s">
        <v>350</v>
      </c>
    </row>
    <row r="43" spans="1:4" s="24" customFormat="1" x14ac:dyDescent="0.2">
      <c r="B43" s="24" t="s">
        <v>119</v>
      </c>
      <c r="D43" s="24" t="s">
        <v>120</v>
      </c>
    </row>
    <row r="44" spans="1:4" s="25" customFormat="1" x14ac:dyDescent="0.2">
      <c r="B44" s="25" t="s">
        <v>121</v>
      </c>
      <c r="D44" s="25" t="s">
        <v>352</v>
      </c>
    </row>
    <row r="45" spans="1:4" s="24" customFormat="1" x14ac:dyDescent="0.2">
      <c r="B45" s="24" t="s">
        <v>122</v>
      </c>
      <c r="D45" s="24" t="s">
        <v>120</v>
      </c>
    </row>
    <row r="46" spans="1:4" s="24" customFormat="1" x14ac:dyDescent="0.2">
      <c r="B46" s="24" t="s">
        <v>123</v>
      </c>
      <c r="C46" s="24" t="s">
        <v>32</v>
      </c>
    </row>
    <row r="47" spans="1:4" x14ac:dyDescent="0.2">
      <c r="A47" t="s">
        <v>108</v>
      </c>
      <c r="B47" t="s">
        <v>124</v>
      </c>
      <c r="C47" t="s">
        <v>31</v>
      </c>
    </row>
    <row r="48" spans="1:4" x14ac:dyDescent="0.2">
      <c r="B48" t="s">
        <v>125</v>
      </c>
      <c r="D48" t="s">
        <v>129</v>
      </c>
    </row>
    <row r="49" spans="1:4" x14ac:dyDescent="0.2">
      <c r="B49" t="s">
        <v>127</v>
      </c>
      <c r="D49" t="s">
        <v>111</v>
      </c>
    </row>
    <row r="50" spans="1:4" x14ac:dyDescent="0.2">
      <c r="B50" t="s">
        <v>128</v>
      </c>
      <c r="D50" t="s">
        <v>129</v>
      </c>
    </row>
    <row r="51" spans="1:4" x14ac:dyDescent="0.2">
      <c r="B51" t="s">
        <v>130</v>
      </c>
      <c r="D51" t="s">
        <v>126</v>
      </c>
    </row>
    <row r="52" spans="1:4" x14ac:dyDescent="0.2">
      <c r="B52" t="s">
        <v>131</v>
      </c>
      <c r="D52" t="s">
        <v>111</v>
      </c>
    </row>
    <row r="53" spans="1:4" x14ac:dyDescent="0.2">
      <c r="B53" t="s">
        <v>132</v>
      </c>
      <c r="D53" t="s">
        <v>129</v>
      </c>
    </row>
    <row r="54" spans="1:4" x14ac:dyDescent="0.2">
      <c r="B54" t="s">
        <v>133</v>
      </c>
      <c r="C54" t="s">
        <v>32</v>
      </c>
    </row>
    <row r="55" spans="1:4" x14ac:dyDescent="0.2">
      <c r="A55" t="s">
        <v>134</v>
      </c>
      <c r="B55" t="s">
        <v>135</v>
      </c>
      <c r="C55" t="s">
        <v>31</v>
      </c>
    </row>
    <row r="56" spans="1:4" x14ac:dyDescent="0.2">
      <c r="B56" t="s">
        <v>137</v>
      </c>
      <c r="D56" t="s">
        <v>111</v>
      </c>
    </row>
    <row r="57" spans="1:4" x14ac:dyDescent="0.2">
      <c r="B57" t="s">
        <v>138</v>
      </c>
      <c r="D57" t="s">
        <v>111</v>
      </c>
    </row>
    <row r="58" spans="1:4" x14ac:dyDescent="0.2">
      <c r="B58" t="s">
        <v>139</v>
      </c>
      <c r="D58" t="s">
        <v>111</v>
      </c>
    </row>
    <row r="59" spans="1:4" x14ac:dyDescent="0.2">
      <c r="B59" t="s">
        <v>140</v>
      </c>
      <c r="D59" t="s">
        <v>111</v>
      </c>
    </row>
    <row r="60" spans="1:4" x14ac:dyDescent="0.2">
      <c r="B60" t="s">
        <v>141</v>
      </c>
    </row>
    <row r="61" spans="1:4" x14ac:dyDescent="0.2">
      <c r="A61" t="s">
        <v>143</v>
      </c>
      <c r="B61" t="s">
        <v>142</v>
      </c>
      <c r="C61" t="s">
        <v>31</v>
      </c>
    </row>
    <row r="62" spans="1:4" ht="21" customHeight="1" x14ac:dyDescent="0.2">
      <c r="B62" t="s">
        <v>144</v>
      </c>
      <c r="C62" t="s">
        <v>32</v>
      </c>
    </row>
    <row r="63" spans="1:4" s="24" customFormat="1" x14ac:dyDescent="0.2">
      <c r="A63" s="24" t="s">
        <v>145</v>
      </c>
      <c r="B63" s="24" t="s">
        <v>146</v>
      </c>
      <c r="C63" s="24" t="s">
        <v>31</v>
      </c>
    </row>
    <row r="64" spans="1:4" s="24" customFormat="1" x14ac:dyDescent="0.2">
      <c r="D64" s="24" t="s">
        <v>354</v>
      </c>
    </row>
    <row r="65" spans="1:4" s="24" customFormat="1" x14ac:dyDescent="0.2">
      <c r="B65" s="25" t="s">
        <v>147</v>
      </c>
      <c r="C65" s="25"/>
      <c r="D65" s="25" t="s">
        <v>355</v>
      </c>
    </row>
    <row r="66" spans="1:4" s="24" customFormat="1" x14ac:dyDescent="0.2">
      <c r="B66" s="24" t="s">
        <v>148</v>
      </c>
      <c r="D66" s="24" t="s">
        <v>120</v>
      </c>
    </row>
    <row r="67" spans="1:4" s="24" customFormat="1" x14ac:dyDescent="0.2">
      <c r="B67" s="24" t="s">
        <v>149</v>
      </c>
      <c r="D67" s="24" t="s">
        <v>353</v>
      </c>
    </row>
    <row r="68" spans="1:4" s="24" customFormat="1" x14ac:dyDescent="0.2">
      <c r="B68" s="24" t="s">
        <v>150</v>
      </c>
      <c r="D68" s="26" t="s">
        <v>356</v>
      </c>
    </row>
    <row r="69" spans="1:4" s="24" customFormat="1" x14ac:dyDescent="0.2">
      <c r="B69" s="24" t="s">
        <v>151</v>
      </c>
      <c r="D69" s="26" t="s">
        <v>357</v>
      </c>
    </row>
    <row r="70" spans="1:4" s="24" customFormat="1" x14ac:dyDescent="0.2">
      <c r="B70" s="24" t="s">
        <v>152</v>
      </c>
      <c r="C70" s="24" t="s">
        <v>32</v>
      </c>
    </row>
    <row r="71" spans="1:4" x14ac:dyDescent="0.2">
      <c r="A71" t="s">
        <v>153</v>
      </c>
      <c r="B71" t="s">
        <v>154</v>
      </c>
      <c r="C71" t="s">
        <v>31</v>
      </c>
    </row>
    <row r="72" spans="1:4" x14ac:dyDescent="0.2">
      <c r="B72" t="s">
        <v>155</v>
      </c>
      <c r="D72" t="s">
        <v>111</v>
      </c>
    </row>
    <row r="73" spans="1:4" x14ac:dyDescent="0.2">
      <c r="B73" t="s">
        <v>156</v>
      </c>
      <c r="D73" t="s">
        <v>111</v>
      </c>
    </row>
    <row r="74" spans="1:4" x14ac:dyDescent="0.2">
      <c r="B74" t="s">
        <v>157</v>
      </c>
      <c r="D74" t="s">
        <v>111</v>
      </c>
    </row>
    <row r="75" spans="1:4" x14ac:dyDescent="0.2">
      <c r="B75" t="s">
        <v>158</v>
      </c>
      <c r="D75" t="s">
        <v>111</v>
      </c>
    </row>
    <row r="76" spans="1:4" x14ac:dyDescent="0.2">
      <c r="B76" t="s">
        <v>159</v>
      </c>
      <c r="D76" t="s">
        <v>111</v>
      </c>
    </row>
    <row r="77" spans="1:4" x14ac:dyDescent="0.2">
      <c r="B77" t="s">
        <v>160</v>
      </c>
      <c r="D77" t="s">
        <v>111</v>
      </c>
    </row>
    <row r="78" spans="1:4" x14ac:dyDescent="0.2">
      <c r="B78" t="s">
        <v>161</v>
      </c>
      <c r="D78" t="s">
        <v>111</v>
      </c>
    </row>
    <row r="79" spans="1:4" x14ac:dyDescent="0.2">
      <c r="B79" t="s">
        <v>162</v>
      </c>
      <c r="D79" t="s">
        <v>111</v>
      </c>
    </row>
    <row r="80" spans="1:4" x14ac:dyDescent="0.2">
      <c r="B80" t="s">
        <v>163</v>
      </c>
      <c r="C80" t="s">
        <v>32</v>
      </c>
    </row>
    <row r="83" spans="1:4" x14ac:dyDescent="0.2">
      <c r="A83" s="28" t="s">
        <v>360</v>
      </c>
      <c r="B83" t="s">
        <v>164</v>
      </c>
      <c r="C83" t="s">
        <v>31</v>
      </c>
      <c r="D83" s="14" t="s">
        <v>359</v>
      </c>
    </row>
    <row r="84" spans="1:4" x14ac:dyDescent="0.2">
      <c r="B84" t="s">
        <v>165</v>
      </c>
      <c r="C84" t="s">
        <v>32</v>
      </c>
    </row>
    <row r="86" spans="1:4" x14ac:dyDescent="0.2">
      <c r="A86" t="s">
        <v>166</v>
      </c>
      <c r="B86" t="s">
        <v>167</v>
      </c>
      <c r="C86" t="s">
        <v>31</v>
      </c>
    </row>
    <row r="87" spans="1:4" x14ac:dyDescent="0.2">
      <c r="B87" t="s">
        <v>168</v>
      </c>
      <c r="C87" t="s">
        <v>58</v>
      </c>
      <c r="D87" t="s">
        <v>169</v>
      </c>
    </row>
    <row r="88" spans="1:4" x14ac:dyDescent="0.2">
      <c r="B88" t="s">
        <v>170</v>
      </c>
      <c r="C88" t="s">
        <v>59</v>
      </c>
    </row>
    <row r="89" spans="1:4" x14ac:dyDescent="0.2">
      <c r="B89" t="s">
        <v>171</v>
      </c>
      <c r="D89" t="s">
        <v>126</v>
      </c>
    </row>
    <row r="90" spans="1:4" x14ac:dyDescent="0.2">
      <c r="B90" t="s">
        <v>172</v>
      </c>
      <c r="D90" t="s">
        <v>111</v>
      </c>
    </row>
    <row r="91" spans="1:4" x14ac:dyDescent="0.2">
      <c r="B91" t="s">
        <v>173</v>
      </c>
    </row>
    <row r="92" spans="1:4" x14ac:dyDescent="0.2">
      <c r="A92" t="s">
        <v>174</v>
      </c>
      <c r="B92" t="s">
        <v>175</v>
      </c>
      <c r="C92" t="s">
        <v>31</v>
      </c>
    </row>
    <row r="93" spans="1:4" x14ac:dyDescent="0.2">
      <c r="B93" t="s">
        <v>176</v>
      </c>
      <c r="D93" t="s">
        <v>111</v>
      </c>
    </row>
    <row r="94" spans="1:4" x14ac:dyDescent="0.2">
      <c r="B94" t="s">
        <v>177</v>
      </c>
      <c r="D94" t="s">
        <v>111</v>
      </c>
    </row>
    <row r="95" spans="1:4" x14ac:dyDescent="0.2">
      <c r="B95" t="s">
        <v>178</v>
      </c>
      <c r="C95" t="s">
        <v>32</v>
      </c>
    </row>
    <row r="96" spans="1:4" x14ac:dyDescent="0.2">
      <c r="A96" t="s">
        <v>179</v>
      </c>
      <c r="B96" t="s">
        <v>180</v>
      </c>
      <c r="C96" t="s">
        <v>31</v>
      </c>
    </row>
    <row r="97" spans="1:4" x14ac:dyDescent="0.2">
      <c r="B97" t="s">
        <v>181</v>
      </c>
      <c r="C97" t="s">
        <v>182</v>
      </c>
      <c r="D97" t="s">
        <v>183</v>
      </c>
    </row>
    <row r="98" spans="1:4" x14ac:dyDescent="0.2">
      <c r="A98" t="s">
        <v>190</v>
      </c>
      <c r="B98" t="s">
        <v>184</v>
      </c>
      <c r="C98" t="s">
        <v>31</v>
      </c>
      <c r="D98" t="s">
        <v>185</v>
      </c>
    </row>
    <row r="99" spans="1:4" x14ac:dyDescent="0.2">
      <c r="B99" t="s">
        <v>186</v>
      </c>
      <c r="C99" t="s">
        <v>32</v>
      </c>
    </row>
    <row r="100" spans="1:4" x14ac:dyDescent="0.2">
      <c r="A100" t="s">
        <v>189</v>
      </c>
      <c r="B100" t="s">
        <v>187</v>
      </c>
      <c r="C100" t="s">
        <v>31</v>
      </c>
    </row>
    <row r="101" spans="1:4" x14ac:dyDescent="0.2">
      <c r="B101" t="s">
        <v>191</v>
      </c>
      <c r="D101" t="s">
        <v>111</v>
      </c>
    </row>
    <row r="102" spans="1:4" x14ac:dyDescent="0.2">
      <c r="B102" t="s">
        <v>192</v>
      </c>
      <c r="C102" t="s">
        <v>32</v>
      </c>
    </row>
    <row r="103" spans="1:4" x14ac:dyDescent="0.2">
      <c r="A103" t="s">
        <v>194</v>
      </c>
      <c r="B103" t="s">
        <v>193</v>
      </c>
      <c r="C103" t="s">
        <v>31</v>
      </c>
    </row>
    <row r="104" spans="1:4" x14ac:dyDescent="0.2">
      <c r="B104" t="s">
        <v>195</v>
      </c>
      <c r="D104" t="s">
        <v>129</v>
      </c>
    </row>
    <row r="105" spans="1:4" x14ac:dyDescent="0.2">
      <c r="B105" t="s">
        <v>196</v>
      </c>
      <c r="D105" t="s">
        <v>126</v>
      </c>
    </row>
    <row r="106" spans="1:4" x14ac:dyDescent="0.2">
      <c r="B106" t="s">
        <v>197</v>
      </c>
      <c r="D106" t="s">
        <v>126</v>
      </c>
    </row>
    <row r="107" spans="1:4" x14ac:dyDescent="0.2">
      <c r="B107" t="s">
        <v>198</v>
      </c>
      <c r="D107" t="s">
        <v>111</v>
      </c>
    </row>
    <row r="108" spans="1:4" x14ac:dyDescent="0.2">
      <c r="B108" t="s">
        <v>199</v>
      </c>
      <c r="D108" t="s">
        <v>111</v>
      </c>
    </row>
    <row r="109" spans="1:4" x14ac:dyDescent="0.2">
      <c r="B109" t="s">
        <v>200</v>
      </c>
      <c r="C109" t="s">
        <v>32</v>
      </c>
    </row>
    <row r="110" spans="1:4" x14ac:dyDescent="0.2">
      <c r="A110" t="s">
        <v>201</v>
      </c>
      <c r="B110" t="s">
        <v>202</v>
      </c>
      <c r="C110" t="s">
        <v>31</v>
      </c>
    </row>
    <row r="111" spans="1:4" x14ac:dyDescent="0.2">
      <c r="B111" t="s">
        <v>203</v>
      </c>
    </row>
    <row r="112" spans="1:4" x14ac:dyDescent="0.2">
      <c r="B112" t="s">
        <v>204</v>
      </c>
      <c r="C112" t="s">
        <v>32</v>
      </c>
    </row>
    <row r="113" spans="1:4" x14ac:dyDescent="0.2">
      <c r="A113" t="s">
        <v>205</v>
      </c>
      <c r="B113" t="s">
        <v>206</v>
      </c>
      <c r="C113" t="s">
        <v>31</v>
      </c>
    </row>
    <row r="114" spans="1:4" x14ac:dyDescent="0.2">
      <c r="B114" t="s">
        <v>207</v>
      </c>
      <c r="D114" t="s">
        <v>126</v>
      </c>
    </row>
    <row r="115" spans="1:4" x14ac:dyDescent="0.2">
      <c r="B115" t="s">
        <v>208</v>
      </c>
      <c r="D115" t="s">
        <v>111</v>
      </c>
    </row>
    <row r="116" spans="1:4" x14ac:dyDescent="0.2">
      <c r="B116" t="s">
        <v>209</v>
      </c>
      <c r="D116" t="s">
        <v>111</v>
      </c>
    </row>
    <row r="117" spans="1:4" x14ac:dyDescent="0.2">
      <c r="B117" t="s">
        <v>210</v>
      </c>
      <c r="D117" t="s">
        <v>111</v>
      </c>
    </row>
    <row r="118" spans="1:4" x14ac:dyDescent="0.2">
      <c r="B118" t="s">
        <v>211</v>
      </c>
      <c r="D118" t="s">
        <v>111</v>
      </c>
    </row>
    <row r="119" spans="1:4" x14ac:dyDescent="0.2">
      <c r="B119" t="s">
        <v>212</v>
      </c>
      <c r="D119" t="s">
        <v>111</v>
      </c>
    </row>
    <row r="120" spans="1:4" x14ac:dyDescent="0.2">
      <c r="B120" t="s">
        <v>213</v>
      </c>
      <c r="C120" t="s">
        <v>32</v>
      </c>
    </row>
    <row r="121" spans="1:4" x14ac:dyDescent="0.2">
      <c r="A121" t="s">
        <v>214</v>
      </c>
      <c r="B121" t="s">
        <v>215</v>
      </c>
      <c r="C121" t="s">
        <v>31</v>
      </c>
    </row>
    <row r="122" spans="1:4" x14ac:dyDescent="0.2">
      <c r="B122" t="s">
        <v>216</v>
      </c>
      <c r="C122" t="s">
        <v>58</v>
      </c>
    </row>
    <row r="123" spans="1:4" x14ac:dyDescent="0.2">
      <c r="A123" s="4"/>
      <c r="B123" t="s">
        <v>217</v>
      </c>
      <c r="C123" t="s">
        <v>33</v>
      </c>
    </row>
    <row r="124" spans="1:4" x14ac:dyDescent="0.2">
      <c r="B124" t="s">
        <v>218</v>
      </c>
      <c r="D124" t="s">
        <v>111</v>
      </c>
    </row>
    <row r="125" spans="1:4" x14ac:dyDescent="0.2">
      <c r="A125" s="4"/>
      <c r="B125" t="s">
        <v>219</v>
      </c>
      <c r="D125" t="s">
        <v>111</v>
      </c>
    </row>
    <row r="126" spans="1:4" x14ac:dyDescent="0.2">
      <c r="B126" t="s">
        <v>220</v>
      </c>
      <c r="D126" t="s">
        <v>111</v>
      </c>
    </row>
    <row r="127" spans="1:4" x14ac:dyDescent="0.2">
      <c r="B127" t="s">
        <v>221</v>
      </c>
      <c r="C127" t="s">
        <v>32</v>
      </c>
    </row>
    <row r="128" spans="1:4" x14ac:dyDescent="0.2">
      <c r="A128" s="4" t="s">
        <v>222</v>
      </c>
      <c r="B128" t="s">
        <v>223</v>
      </c>
      <c r="C128" t="s">
        <v>31</v>
      </c>
    </row>
    <row r="129" spans="1:4" x14ac:dyDescent="0.2">
      <c r="B129" t="s">
        <v>224</v>
      </c>
      <c r="D129" t="s">
        <v>111</v>
      </c>
    </row>
    <row r="130" spans="1:4" x14ac:dyDescent="0.2">
      <c r="A130" s="4"/>
      <c r="B130" t="s">
        <v>225</v>
      </c>
      <c r="D130" t="s">
        <v>111</v>
      </c>
    </row>
    <row r="131" spans="1:4" x14ac:dyDescent="0.2">
      <c r="B131" t="s">
        <v>226</v>
      </c>
      <c r="D131" t="s">
        <v>111</v>
      </c>
    </row>
    <row r="132" spans="1:4" x14ac:dyDescent="0.2">
      <c r="A132" s="4"/>
      <c r="B132" t="s">
        <v>227</v>
      </c>
      <c r="D132" t="s">
        <v>111</v>
      </c>
    </row>
    <row r="133" spans="1:4" x14ac:dyDescent="0.2">
      <c r="B133" t="s">
        <v>228</v>
      </c>
      <c r="D133" t="s">
        <v>111</v>
      </c>
    </row>
    <row r="134" spans="1:4" x14ac:dyDescent="0.2">
      <c r="A134" s="4"/>
      <c r="B134" t="s">
        <v>229</v>
      </c>
      <c r="D134" t="s">
        <v>111</v>
      </c>
    </row>
    <row r="135" spans="1:4" x14ac:dyDescent="0.2">
      <c r="B135" t="s">
        <v>230</v>
      </c>
    </row>
    <row r="136" spans="1:4" x14ac:dyDescent="0.2">
      <c r="A136" s="4" t="s">
        <v>231</v>
      </c>
      <c r="B136" s="8">
        <v>0.96819444444444447</v>
      </c>
      <c r="C136" t="s">
        <v>31</v>
      </c>
      <c r="D136" s="12"/>
    </row>
    <row r="137" spans="1:4" x14ac:dyDescent="0.2">
      <c r="A137" s="4"/>
      <c r="B137" s="8">
        <v>0.98599537037037033</v>
      </c>
      <c r="C137" t="s">
        <v>32</v>
      </c>
      <c r="D137" s="12">
        <v>0.98599537037037033</v>
      </c>
    </row>
    <row r="138" spans="1:4" x14ac:dyDescent="0.2">
      <c r="A138" s="4" t="s">
        <v>232</v>
      </c>
      <c r="B138" s="9">
        <v>2.3032407407407407E-3</v>
      </c>
      <c r="C138" t="s">
        <v>31</v>
      </c>
      <c r="D138" s="12">
        <v>2.3032407407407407E-3</v>
      </c>
    </row>
    <row r="139" spans="1:4" x14ac:dyDescent="0.2">
      <c r="A139" s="4"/>
      <c r="B139" s="9">
        <v>1.681712962962963E-2</v>
      </c>
      <c r="C139" t="s">
        <v>32</v>
      </c>
      <c r="D139" s="12">
        <v>1.681712962962963E-2</v>
      </c>
    </row>
    <row r="140" spans="1:4" x14ac:dyDescent="0.2">
      <c r="A140" s="4" t="s">
        <v>233</v>
      </c>
      <c r="B140" s="10">
        <v>5.2094907407407409E-2</v>
      </c>
      <c r="C140" t="s">
        <v>31</v>
      </c>
      <c r="D140" s="13">
        <v>5.2094907407407409E-2</v>
      </c>
    </row>
    <row r="141" spans="1:4" x14ac:dyDescent="0.2">
      <c r="A141" s="4"/>
      <c r="B141" s="10">
        <v>7.8981481481481486E-2</v>
      </c>
      <c r="C141" t="s">
        <v>32</v>
      </c>
      <c r="D141" s="13">
        <v>7.8981481481481486E-2</v>
      </c>
    </row>
    <row r="142" spans="1:4" x14ac:dyDescent="0.2">
      <c r="A142" s="4" t="s">
        <v>234</v>
      </c>
      <c r="B142" s="10">
        <v>8.3449074074074078E-2</v>
      </c>
      <c r="C142" t="s">
        <v>31</v>
      </c>
      <c r="D142" s="13">
        <v>8.3449074074074078E-2</v>
      </c>
    </row>
    <row r="143" spans="1:4" x14ac:dyDescent="0.2">
      <c r="A143" s="4"/>
      <c r="B143" s="10">
        <v>9.8645833333333335E-2</v>
      </c>
      <c r="C143" t="s">
        <v>32</v>
      </c>
      <c r="D143" s="13">
        <v>9.8645833333333335E-2</v>
      </c>
    </row>
    <row r="144" spans="1:4" x14ac:dyDescent="0.2">
      <c r="A144" s="14" t="s">
        <v>236</v>
      </c>
      <c r="B144" s="19" t="s">
        <v>255</v>
      </c>
      <c r="C144" t="s">
        <v>31</v>
      </c>
      <c r="D144" t="s">
        <v>254</v>
      </c>
    </row>
    <row r="145" spans="1:4" x14ac:dyDescent="0.2">
      <c r="A145" s="4"/>
      <c r="B145" s="18" t="s">
        <v>256</v>
      </c>
      <c r="C145" t="s">
        <v>32</v>
      </c>
      <c r="D145" t="s">
        <v>254</v>
      </c>
    </row>
    <row r="146" spans="1:4" x14ac:dyDescent="0.2">
      <c r="A146" s="14" t="s">
        <v>235</v>
      </c>
      <c r="B146" s="20" t="s">
        <v>252</v>
      </c>
      <c r="C146" t="s">
        <v>31</v>
      </c>
      <c r="D146" t="s">
        <v>254</v>
      </c>
    </row>
    <row r="147" spans="1:4" x14ac:dyDescent="0.2">
      <c r="A147" s="4"/>
      <c r="B147" s="11" t="s">
        <v>253</v>
      </c>
      <c r="C147" t="s">
        <v>32</v>
      </c>
      <c r="D147" t="s">
        <v>254</v>
      </c>
    </row>
    <row r="148" spans="1:4" x14ac:dyDescent="0.2">
      <c r="A148" s="14" t="s">
        <v>237</v>
      </c>
      <c r="B148" s="14" t="s">
        <v>238</v>
      </c>
      <c r="C148" s="14" t="s">
        <v>31</v>
      </c>
      <c r="D148" s="14" t="s">
        <v>241</v>
      </c>
    </row>
    <row r="149" spans="1:4" x14ac:dyDescent="0.2">
      <c r="A149" s="4"/>
      <c r="B149" s="14" t="s">
        <v>239</v>
      </c>
      <c r="D149" s="14" t="s">
        <v>111</v>
      </c>
    </row>
    <row r="150" spans="1:4" x14ac:dyDescent="0.2">
      <c r="B150" s="16" t="s">
        <v>240</v>
      </c>
      <c r="D150" s="14" t="s">
        <v>242</v>
      </c>
    </row>
    <row r="151" spans="1:4" x14ac:dyDescent="0.2">
      <c r="A151" s="4"/>
      <c r="B151" s="16" t="s">
        <v>243</v>
      </c>
      <c r="D151" s="14" t="s">
        <v>129</v>
      </c>
    </row>
    <row r="152" spans="1:4" x14ac:dyDescent="0.2">
      <c r="B152" s="16" t="s">
        <v>244</v>
      </c>
      <c r="D152" s="14" t="s">
        <v>111</v>
      </c>
    </row>
    <row r="153" spans="1:4" x14ac:dyDescent="0.2">
      <c r="B153" s="16" t="s">
        <v>245</v>
      </c>
      <c r="C153" s="14" t="s">
        <v>32</v>
      </c>
    </row>
    <row r="154" spans="1:4" x14ac:dyDescent="0.2">
      <c r="A154" s="14" t="s">
        <v>246</v>
      </c>
      <c r="B154" s="17" t="s">
        <v>247</v>
      </c>
      <c r="C154" s="14" t="s">
        <v>31</v>
      </c>
    </row>
    <row r="155" spans="1:4" x14ac:dyDescent="0.2">
      <c r="B155" s="17" t="s">
        <v>248</v>
      </c>
      <c r="D155" s="14" t="s">
        <v>111</v>
      </c>
    </row>
    <row r="156" spans="1:4" x14ac:dyDescent="0.2">
      <c r="B156" s="17" t="s">
        <v>249</v>
      </c>
      <c r="D156" s="14" t="s">
        <v>111</v>
      </c>
    </row>
    <row r="157" spans="1:4" x14ac:dyDescent="0.2">
      <c r="A157" s="4"/>
      <c r="B157" s="17" t="s">
        <v>250</v>
      </c>
      <c r="D157" s="14" t="s">
        <v>111</v>
      </c>
    </row>
    <row r="158" spans="1:4" x14ac:dyDescent="0.2">
      <c r="B158" s="17" t="s">
        <v>251</v>
      </c>
      <c r="C158" s="14" t="s">
        <v>32</v>
      </c>
    </row>
    <row r="159" spans="1:4" x14ac:dyDescent="0.2">
      <c r="A159" s="4" t="s">
        <v>258</v>
      </c>
      <c r="B159" s="17" t="s">
        <v>259</v>
      </c>
      <c r="C159" s="14" t="s">
        <v>31</v>
      </c>
    </row>
    <row r="160" spans="1:4" x14ac:dyDescent="0.2">
      <c r="B160" s="17" t="s">
        <v>260</v>
      </c>
      <c r="D160" t="s">
        <v>111</v>
      </c>
    </row>
    <row r="161" spans="1:4" x14ac:dyDescent="0.2">
      <c r="A161" s="4"/>
      <c r="B161" s="17" t="s">
        <v>261</v>
      </c>
      <c r="D161" t="s">
        <v>111</v>
      </c>
    </row>
    <row r="162" spans="1:4" x14ac:dyDescent="0.2">
      <c r="B162" s="17" t="s">
        <v>262</v>
      </c>
      <c r="D162" t="s">
        <v>111</v>
      </c>
    </row>
    <row r="163" spans="1:4" x14ac:dyDescent="0.2">
      <c r="B163" s="17" t="s">
        <v>263</v>
      </c>
    </row>
    <row r="164" spans="1:4" x14ac:dyDescent="0.2">
      <c r="A164" t="s">
        <v>258</v>
      </c>
      <c r="B164" s="17" t="s">
        <v>264</v>
      </c>
      <c r="C164" t="s">
        <v>31</v>
      </c>
    </row>
    <row r="165" spans="1:4" x14ac:dyDescent="0.2">
      <c r="B165" s="17" t="s">
        <v>265</v>
      </c>
      <c r="C165" t="s">
        <v>58</v>
      </c>
    </row>
    <row r="166" spans="1:4" x14ac:dyDescent="0.2">
      <c r="B166" s="17" t="s">
        <v>266</v>
      </c>
      <c r="C166" t="s">
        <v>267</v>
      </c>
    </row>
    <row r="167" spans="1:4" x14ac:dyDescent="0.2">
      <c r="B167" s="17" t="s">
        <v>268</v>
      </c>
      <c r="D167" t="s">
        <v>111</v>
      </c>
    </row>
    <row r="168" spans="1:4" x14ac:dyDescent="0.2">
      <c r="B168" s="17" t="s">
        <v>269</v>
      </c>
      <c r="D168" t="s">
        <v>126</v>
      </c>
    </row>
    <row r="169" spans="1:4" x14ac:dyDescent="0.2">
      <c r="B169" s="17" t="s">
        <v>270</v>
      </c>
      <c r="D169" t="s">
        <v>129</v>
      </c>
    </row>
    <row r="170" spans="1:4" x14ac:dyDescent="0.2">
      <c r="B170" s="17" t="s">
        <v>271</v>
      </c>
      <c r="D170" t="s">
        <v>129</v>
      </c>
    </row>
    <row r="171" spans="1:4" x14ac:dyDescent="0.2">
      <c r="B171" s="17" t="s">
        <v>272</v>
      </c>
      <c r="C171" t="s">
        <v>32</v>
      </c>
    </row>
    <row r="172" spans="1:4" x14ac:dyDescent="0.2">
      <c r="A172" t="s">
        <v>273</v>
      </c>
      <c r="B172" s="17" t="s">
        <v>274</v>
      </c>
      <c r="C172" t="s">
        <v>31</v>
      </c>
    </row>
    <row r="173" spans="1:4" x14ac:dyDescent="0.2">
      <c r="B173" s="17" t="s">
        <v>275</v>
      </c>
      <c r="D173" t="s">
        <v>111</v>
      </c>
    </row>
    <row r="174" spans="1:4" x14ac:dyDescent="0.2">
      <c r="B174" s="17" t="s">
        <v>276</v>
      </c>
      <c r="D174" t="s">
        <v>120</v>
      </c>
    </row>
    <row r="175" spans="1:4" x14ac:dyDescent="0.2">
      <c r="B175" s="17" t="s">
        <v>277</v>
      </c>
      <c r="C175" t="s">
        <v>32</v>
      </c>
    </row>
    <row r="176" spans="1:4" x14ac:dyDescent="0.2">
      <c r="A176" t="s">
        <v>278</v>
      </c>
      <c r="B176" s="17" t="s">
        <v>279</v>
      </c>
      <c r="C176" t="s">
        <v>31</v>
      </c>
    </row>
    <row r="177" spans="1:4" x14ac:dyDescent="0.2">
      <c r="B177" s="17" t="s">
        <v>280</v>
      </c>
      <c r="C177" t="s">
        <v>32</v>
      </c>
    </row>
    <row r="178" spans="1:4" x14ac:dyDescent="0.2">
      <c r="A178" t="s">
        <v>281</v>
      </c>
      <c r="B178" s="17" t="s">
        <v>282</v>
      </c>
      <c r="C178" t="s">
        <v>31</v>
      </c>
    </row>
    <row r="179" spans="1:4" x14ac:dyDescent="0.2">
      <c r="B179" s="17" t="s">
        <v>283</v>
      </c>
      <c r="D179" t="s">
        <v>111</v>
      </c>
    </row>
    <row r="180" spans="1:4" x14ac:dyDescent="0.2">
      <c r="B180" s="17" t="s">
        <v>284</v>
      </c>
      <c r="D180" t="s">
        <v>111</v>
      </c>
    </row>
    <row r="181" spans="1:4" x14ac:dyDescent="0.2">
      <c r="B181" s="17" t="s">
        <v>285</v>
      </c>
      <c r="D181" t="s">
        <v>111</v>
      </c>
    </row>
    <row r="182" spans="1:4" x14ac:dyDescent="0.2">
      <c r="B182" s="17" t="s">
        <v>286</v>
      </c>
      <c r="D182" t="s">
        <v>111</v>
      </c>
    </row>
    <row r="183" spans="1:4" x14ac:dyDescent="0.2">
      <c r="B183" s="17" t="s">
        <v>287</v>
      </c>
      <c r="D183" t="s">
        <v>120</v>
      </c>
    </row>
    <row r="184" spans="1:4" x14ac:dyDescent="0.2">
      <c r="B184" s="17" t="s">
        <v>288</v>
      </c>
      <c r="D184" t="s">
        <v>111</v>
      </c>
    </row>
    <row r="185" spans="1:4" x14ac:dyDescent="0.2">
      <c r="B185" s="17" t="s">
        <v>289</v>
      </c>
      <c r="C185" t="s">
        <v>32</v>
      </c>
    </row>
    <row r="186" spans="1:4" x14ac:dyDescent="0.2">
      <c r="A186" t="s">
        <v>290</v>
      </c>
      <c r="B186" s="17" t="s">
        <v>291</v>
      </c>
      <c r="C186" t="s">
        <v>31</v>
      </c>
    </row>
    <row r="187" spans="1:4" x14ac:dyDescent="0.2">
      <c r="B187" s="17" t="s">
        <v>292</v>
      </c>
      <c r="D187" t="s">
        <v>111</v>
      </c>
    </row>
    <row r="188" spans="1:4" x14ac:dyDescent="0.2">
      <c r="B188" s="17" t="s">
        <v>293</v>
      </c>
      <c r="D188" t="s">
        <v>111</v>
      </c>
    </row>
    <row r="189" spans="1:4" x14ac:dyDescent="0.2">
      <c r="B189" s="17" t="s">
        <v>294</v>
      </c>
      <c r="D189" t="s">
        <v>111</v>
      </c>
    </row>
    <row r="190" spans="1:4" x14ac:dyDescent="0.2">
      <c r="B190" s="17" t="s">
        <v>295</v>
      </c>
      <c r="D190" t="s">
        <v>111</v>
      </c>
    </row>
    <row r="191" spans="1:4" x14ac:dyDescent="0.2">
      <c r="B191" s="17" t="s">
        <v>296</v>
      </c>
      <c r="C191" t="s">
        <v>32</v>
      </c>
    </row>
    <row r="192" spans="1:4" x14ac:dyDescent="0.2">
      <c r="A192" t="s">
        <v>297</v>
      </c>
      <c r="B192" s="17" t="s">
        <v>298</v>
      </c>
      <c r="C192" t="s">
        <v>31</v>
      </c>
    </row>
    <row r="193" spans="1:4" x14ac:dyDescent="0.2">
      <c r="B193" s="17" t="s">
        <v>299</v>
      </c>
      <c r="C193" t="s">
        <v>58</v>
      </c>
      <c r="D193" t="s">
        <v>303</v>
      </c>
    </row>
    <row r="194" spans="1:4" x14ac:dyDescent="0.2">
      <c r="B194" s="17" t="s">
        <v>300</v>
      </c>
      <c r="C194" t="s">
        <v>267</v>
      </c>
    </row>
    <row r="195" spans="1:4" x14ac:dyDescent="0.2">
      <c r="B195" s="17" t="s">
        <v>301</v>
      </c>
      <c r="C195" t="s">
        <v>58</v>
      </c>
    </row>
    <row r="196" spans="1:4" x14ac:dyDescent="0.2">
      <c r="B196" s="17" t="s">
        <v>302</v>
      </c>
      <c r="C196" t="s">
        <v>267</v>
      </c>
    </row>
    <row r="197" spans="1:4" x14ac:dyDescent="0.2">
      <c r="B197" s="17" t="s">
        <v>304</v>
      </c>
      <c r="C197" t="s">
        <v>58</v>
      </c>
    </row>
    <row r="198" spans="1:4" x14ac:dyDescent="0.2">
      <c r="B198" s="17" t="s">
        <v>305</v>
      </c>
      <c r="C198" t="s">
        <v>267</v>
      </c>
    </row>
    <row r="199" spans="1:4" x14ac:dyDescent="0.2">
      <c r="B199" s="17" t="s">
        <v>306</v>
      </c>
      <c r="D199" t="s">
        <v>111</v>
      </c>
    </row>
    <row r="200" spans="1:4" x14ac:dyDescent="0.2">
      <c r="B200" s="17" t="s">
        <v>307</v>
      </c>
      <c r="D200" t="s">
        <v>308</v>
      </c>
    </row>
    <row r="201" spans="1:4" x14ac:dyDescent="0.2">
      <c r="B201" s="17" t="s">
        <v>309</v>
      </c>
      <c r="C201" t="s">
        <v>58</v>
      </c>
      <c r="D201" t="s">
        <v>310</v>
      </c>
    </row>
    <row r="202" spans="1:4" x14ac:dyDescent="0.2">
      <c r="B202" s="17" t="s">
        <v>311</v>
      </c>
      <c r="C202" t="s">
        <v>267</v>
      </c>
    </row>
    <row r="203" spans="1:4" x14ac:dyDescent="0.2">
      <c r="B203" s="17" t="s">
        <v>312</v>
      </c>
      <c r="D203" t="s">
        <v>126</v>
      </c>
    </row>
    <row r="204" spans="1:4" x14ac:dyDescent="0.2">
      <c r="B204" s="17" t="s">
        <v>313</v>
      </c>
      <c r="D204" t="s">
        <v>111</v>
      </c>
    </row>
    <row r="205" spans="1:4" x14ac:dyDescent="0.2">
      <c r="B205" s="17" t="s">
        <v>314</v>
      </c>
      <c r="D205" t="s">
        <v>111</v>
      </c>
    </row>
    <row r="206" spans="1:4" x14ac:dyDescent="0.2">
      <c r="B206" s="17" t="s">
        <v>315</v>
      </c>
      <c r="D206" t="s">
        <v>111</v>
      </c>
    </row>
    <row r="207" spans="1:4" x14ac:dyDescent="0.2">
      <c r="A207" t="s">
        <v>316</v>
      </c>
      <c r="B207" s="17" t="s">
        <v>317</v>
      </c>
      <c r="C207" t="s">
        <v>31</v>
      </c>
    </row>
    <row r="208" spans="1:4" x14ac:dyDescent="0.2">
      <c r="B208" s="17" t="s">
        <v>318</v>
      </c>
      <c r="C208" t="s">
        <v>58</v>
      </c>
      <c r="D208" t="s">
        <v>319</v>
      </c>
    </row>
    <row r="209" spans="1:4" x14ac:dyDescent="0.2">
      <c r="B209" s="17" t="s">
        <v>320</v>
      </c>
      <c r="C209" t="s">
        <v>267</v>
      </c>
    </row>
    <row r="210" spans="1:4" x14ac:dyDescent="0.2">
      <c r="B210" s="17" t="s">
        <v>321</v>
      </c>
      <c r="D210" t="s">
        <v>111</v>
      </c>
    </row>
    <row r="211" spans="1:4" x14ac:dyDescent="0.2">
      <c r="B211" s="17" t="s">
        <v>322</v>
      </c>
      <c r="D211" t="s">
        <v>111</v>
      </c>
    </row>
    <row r="212" spans="1:4" x14ac:dyDescent="0.2">
      <c r="B212" s="17" t="s">
        <v>323</v>
      </c>
      <c r="C212" t="s">
        <v>32</v>
      </c>
    </row>
    <row r="213" spans="1:4" x14ac:dyDescent="0.2">
      <c r="A213" t="s">
        <v>324</v>
      </c>
      <c r="B213" s="17" t="s">
        <v>325</v>
      </c>
      <c r="C213" t="s">
        <v>31</v>
      </c>
    </row>
    <row r="214" spans="1:4" x14ac:dyDescent="0.2">
      <c r="B214" s="17" t="s">
        <v>326</v>
      </c>
      <c r="D214" t="s">
        <v>111</v>
      </c>
    </row>
    <row r="215" spans="1:4" x14ac:dyDescent="0.2">
      <c r="B215" s="17" t="s">
        <v>327</v>
      </c>
    </row>
    <row r="216" spans="1:4" x14ac:dyDescent="0.2">
      <c r="A216" t="s">
        <v>328</v>
      </c>
      <c r="B216" s="17" t="s">
        <v>329</v>
      </c>
      <c r="C216" t="s">
        <v>31</v>
      </c>
    </row>
    <row r="217" spans="1:4" x14ac:dyDescent="0.2">
      <c r="B217" s="17" t="s">
        <v>330</v>
      </c>
      <c r="D217" t="s">
        <v>111</v>
      </c>
    </row>
    <row r="218" spans="1:4" x14ac:dyDescent="0.2">
      <c r="B218" s="17" t="s">
        <v>331</v>
      </c>
      <c r="D218" t="s">
        <v>111</v>
      </c>
    </row>
    <row r="219" spans="1:4" x14ac:dyDescent="0.2">
      <c r="B219" s="17" t="s">
        <v>332</v>
      </c>
      <c r="D219" t="s">
        <v>111</v>
      </c>
    </row>
    <row r="220" spans="1:4" x14ac:dyDescent="0.2">
      <c r="B220" s="17" t="s">
        <v>333</v>
      </c>
      <c r="D220" t="s">
        <v>111</v>
      </c>
    </row>
    <row r="221" spans="1:4" x14ac:dyDescent="0.2">
      <c r="B221" s="17" t="s">
        <v>334</v>
      </c>
      <c r="C221" t="s">
        <v>32</v>
      </c>
    </row>
  </sheetData>
  <autoFilter ref="A1:E80"/>
  <phoneticPr fontId="1" type="noConversion"/>
  <pageMargins left="0.75" right="0.75" top="1" bottom="1" header="0.5" footer="0.5"/>
  <pageSetup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workbookViewId="0">
      <selection activeCell="G32" sqref="G32"/>
    </sheetView>
  </sheetViews>
  <sheetFormatPr defaultRowHeight="12.75" x14ac:dyDescent="0.2"/>
  <cols>
    <col min="2" max="2" width="10.28515625" customWidth="1"/>
    <col min="3" max="3" width="9.140625" style="2" bestFit="1"/>
    <col min="4" max="4" width="10" style="2" bestFit="1" customWidth="1"/>
    <col min="5" max="5" width="9.85546875" bestFit="1" customWidth="1"/>
    <col min="6" max="6" width="10" bestFit="1" customWidth="1"/>
    <col min="7" max="7" width="69.7109375" customWidth="1"/>
  </cols>
  <sheetData>
    <row r="1" spans="1:7" x14ac:dyDescent="0.2">
      <c r="C1" s="27" t="s">
        <v>29</v>
      </c>
      <c r="D1" s="27"/>
      <c r="E1" s="27" t="s">
        <v>3</v>
      </c>
      <c r="F1" s="27"/>
    </row>
    <row r="2" spans="1:7" x14ac:dyDescent="0.2">
      <c r="A2" s="3" t="s">
        <v>0</v>
      </c>
      <c r="B2" s="3" t="s">
        <v>9</v>
      </c>
      <c r="C2" s="3" t="s">
        <v>10</v>
      </c>
      <c r="D2" s="3" t="s">
        <v>11</v>
      </c>
      <c r="E2" s="3" t="s">
        <v>10</v>
      </c>
      <c r="F2" s="3" t="s">
        <v>11</v>
      </c>
      <c r="G2" s="3" t="s">
        <v>12</v>
      </c>
    </row>
    <row r="3" spans="1:7" x14ac:dyDescent="0.2">
      <c r="A3" s="5">
        <v>41139</v>
      </c>
      <c r="B3" t="s">
        <v>14</v>
      </c>
      <c r="C3" s="2">
        <v>4</v>
      </c>
      <c r="D3">
        <f>C3</f>
        <v>4</v>
      </c>
      <c r="E3" s="2">
        <v>4</v>
      </c>
      <c r="F3" s="2">
        <f>E3</f>
        <v>4</v>
      </c>
    </row>
    <row r="4" spans="1:7" x14ac:dyDescent="0.2">
      <c r="A4" s="5">
        <v>41140</v>
      </c>
      <c r="B4" t="s">
        <v>15</v>
      </c>
      <c r="C4">
        <v>9</v>
      </c>
      <c r="D4">
        <f>D3+C4</f>
        <v>13</v>
      </c>
      <c r="E4">
        <v>9</v>
      </c>
      <c r="F4">
        <f>F3+E4</f>
        <v>13</v>
      </c>
    </row>
    <row r="5" spans="1:7" x14ac:dyDescent="0.2">
      <c r="A5" s="5">
        <v>41141</v>
      </c>
      <c r="B5" t="s">
        <v>16</v>
      </c>
      <c r="C5">
        <v>8</v>
      </c>
      <c r="D5">
        <f t="shared" ref="D5:D11" si="0">D4+C5</f>
        <v>21</v>
      </c>
      <c r="E5">
        <v>8</v>
      </c>
      <c r="F5">
        <f t="shared" ref="F5:F11" si="1">F4+E5</f>
        <v>21</v>
      </c>
    </row>
    <row r="6" spans="1:7" x14ac:dyDescent="0.2">
      <c r="A6" s="5">
        <v>41142</v>
      </c>
      <c r="B6" t="s">
        <v>17</v>
      </c>
      <c r="C6">
        <v>7</v>
      </c>
      <c r="D6">
        <f t="shared" si="0"/>
        <v>28</v>
      </c>
      <c r="E6">
        <v>7</v>
      </c>
      <c r="F6">
        <f t="shared" si="1"/>
        <v>28</v>
      </c>
    </row>
    <row r="7" spans="1:7" x14ac:dyDescent="0.2">
      <c r="A7" s="5">
        <v>41143</v>
      </c>
      <c r="B7" t="s">
        <v>18</v>
      </c>
      <c r="C7">
        <v>4</v>
      </c>
      <c r="D7">
        <f t="shared" si="0"/>
        <v>32</v>
      </c>
      <c r="E7">
        <v>4</v>
      </c>
      <c r="F7">
        <f t="shared" si="1"/>
        <v>32</v>
      </c>
    </row>
    <row r="8" spans="1:7" x14ac:dyDescent="0.2">
      <c r="A8" s="5">
        <v>41144</v>
      </c>
      <c r="B8" t="s">
        <v>19</v>
      </c>
      <c r="C8">
        <v>10</v>
      </c>
      <c r="D8">
        <f t="shared" si="0"/>
        <v>42</v>
      </c>
      <c r="F8">
        <f t="shared" si="1"/>
        <v>32</v>
      </c>
    </row>
    <row r="9" spans="1:7" x14ac:dyDescent="0.2">
      <c r="A9" s="5">
        <v>41145</v>
      </c>
      <c r="B9" t="s">
        <v>13</v>
      </c>
      <c r="C9" s="2">
        <v>0</v>
      </c>
      <c r="D9">
        <f t="shared" si="0"/>
        <v>42</v>
      </c>
      <c r="F9">
        <f t="shared" si="1"/>
        <v>32</v>
      </c>
    </row>
    <row r="10" spans="1:7" x14ac:dyDescent="0.2">
      <c r="A10" s="5">
        <v>41146</v>
      </c>
      <c r="B10" t="s">
        <v>14</v>
      </c>
      <c r="C10">
        <v>10</v>
      </c>
      <c r="D10">
        <f t="shared" si="0"/>
        <v>52</v>
      </c>
      <c r="F10">
        <f t="shared" si="1"/>
        <v>32</v>
      </c>
    </row>
    <row r="11" spans="1:7" x14ac:dyDescent="0.2">
      <c r="A11" s="5">
        <v>41147</v>
      </c>
      <c r="B11" t="s">
        <v>15</v>
      </c>
      <c r="C11" s="2">
        <v>8</v>
      </c>
      <c r="D11">
        <f t="shared" si="0"/>
        <v>60</v>
      </c>
      <c r="F11">
        <f t="shared" si="1"/>
        <v>32</v>
      </c>
    </row>
    <row r="12" spans="1:7" x14ac:dyDescent="0.2">
      <c r="A12" s="5">
        <v>41148</v>
      </c>
      <c r="B12" t="s">
        <v>16</v>
      </c>
      <c r="C12"/>
      <c r="D12"/>
    </row>
    <row r="13" spans="1:7" x14ac:dyDescent="0.2">
      <c r="A13" s="5">
        <v>41149</v>
      </c>
      <c r="B13" t="s">
        <v>17</v>
      </c>
      <c r="C13"/>
      <c r="D13"/>
    </row>
    <row r="14" spans="1:7" x14ac:dyDescent="0.2">
      <c r="A14" s="1"/>
      <c r="B14" s="1"/>
      <c r="C14"/>
      <c r="D14"/>
    </row>
    <row r="17" spans="1:3" x14ac:dyDescent="0.2">
      <c r="A17" s="5"/>
      <c r="C17"/>
    </row>
    <row r="18" spans="1:3" x14ac:dyDescent="0.2">
      <c r="A18" s="5"/>
      <c r="C18"/>
    </row>
    <row r="19" spans="1:3" x14ac:dyDescent="0.2">
      <c r="A19" s="5"/>
      <c r="C19"/>
    </row>
    <row r="20" spans="1:3" x14ac:dyDescent="0.2">
      <c r="A20" s="5"/>
      <c r="C20"/>
    </row>
    <row r="21" spans="1:3" x14ac:dyDescent="0.2">
      <c r="A21" s="5"/>
    </row>
    <row r="22" spans="1:3" x14ac:dyDescent="0.2">
      <c r="A22" s="5"/>
    </row>
    <row r="23" spans="1:3" x14ac:dyDescent="0.2">
      <c r="A23" s="5"/>
    </row>
    <row r="24" spans="1:3" x14ac:dyDescent="0.2">
      <c r="A24" s="5"/>
    </row>
  </sheetData>
  <mergeCells count="2">
    <mergeCell ref="C1:D1"/>
    <mergeCell ref="E1:F1"/>
  </mergeCells>
  <phoneticPr fontId="1"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4"/>
  <sheetViews>
    <sheetView workbookViewId="0">
      <pane ySplit="1" topLeftCell="A2" activePane="bottomLeft" state="frozen"/>
      <selection pane="bottomLeft"/>
    </sheetView>
  </sheetViews>
  <sheetFormatPr defaultRowHeight="12.75" x14ac:dyDescent="0.2"/>
  <cols>
    <col min="3" max="3" width="18.85546875" bestFit="1" customWidth="1"/>
    <col min="4" max="4" width="7.140625" bestFit="1" customWidth="1"/>
    <col min="5" max="5" width="19.85546875" bestFit="1" customWidth="1"/>
    <col min="6" max="6" width="7.140625" bestFit="1" customWidth="1"/>
    <col min="7" max="7" width="10.42578125" bestFit="1" customWidth="1"/>
    <col min="8" max="8" width="14.5703125" bestFit="1" customWidth="1"/>
    <col min="9" max="9" width="14.140625" bestFit="1" customWidth="1"/>
    <col min="10" max="10" width="9.5703125" bestFit="1" customWidth="1"/>
    <col min="11" max="11" width="13.7109375" bestFit="1" customWidth="1"/>
    <col min="12" max="12" width="9.42578125" bestFit="1" customWidth="1"/>
    <col min="13" max="13" width="7.85546875" bestFit="1" customWidth="1"/>
    <col min="14" max="14" width="6" bestFit="1" customWidth="1"/>
    <col min="15" max="15" width="14.5703125" bestFit="1" customWidth="1"/>
    <col min="16" max="16" width="9.42578125" bestFit="1" customWidth="1"/>
    <col min="19" max="19" width="8.42578125" bestFit="1" customWidth="1"/>
  </cols>
  <sheetData>
    <row r="1" spans="1:21" x14ac:dyDescent="0.2">
      <c r="A1" s="4" t="s">
        <v>35</v>
      </c>
      <c r="B1" s="4" t="s">
        <v>1</v>
      </c>
      <c r="C1" t="s">
        <v>91</v>
      </c>
      <c r="D1" t="s">
        <v>92</v>
      </c>
      <c r="E1" t="s">
        <v>93</v>
      </c>
      <c r="F1" t="s">
        <v>94</v>
      </c>
      <c r="G1" t="s">
        <v>20</v>
      </c>
      <c r="H1" t="s">
        <v>21</v>
      </c>
      <c r="I1" t="s">
        <v>22</v>
      </c>
      <c r="J1" t="s">
        <v>23</v>
      </c>
      <c r="K1" t="s">
        <v>24</v>
      </c>
      <c r="L1" t="s">
        <v>25</v>
      </c>
      <c r="M1" t="s">
        <v>107</v>
      </c>
      <c r="N1" t="s">
        <v>26</v>
      </c>
      <c r="O1" t="s">
        <v>106</v>
      </c>
      <c r="P1" t="s">
        <v>105</v>
      </c>
      <c r="Q1" t="s">
        <v>104</v>
      </c>
      <c r="R1" t="s">
        <v>102</v>
      </c>
      <c r="S1" t="s">
        <v>103</v>
      </c>
      <c r="U1" t="s">
        <v>6</v>
      </c>
    </row>
    <row r="2" spans="1:21" x14ac:dyDescent="0.2">
      <c r="A2" s="4">
        <f>Header!B3</f>
        <v>6738</v>
      </c>
      <c r="B2" s="4">
        <f>Header!C3</f>
        <v>2</v>
      </c>
      <c r="C2" t="s">
        <v>88</v>
      </c>
      <c r="D2" t="s">
        <v>27</v>
      </c>
      <c r="E2" t="s">
        <v>89</v>
      </c>
      <c r="F2" t="s">
        <v>27</v>
      </c>
      <c r="G2">
        <v>-30</v>
      </c>
      <c r="H2">
        <v>100</v>
      </c>
      <c r="I2" t="s">
        <v>28</v>
      </c>
      <c r="J2">
        <v>-30</v>
      </c>
      <c r="K2">
        <v>270</v>
      </c>
      <c r="L2" t="s">
        <v>95</v>
      </c>
      <c r="M2" t="s">
        <v>96</v>
      </c>
      <c r="N2" t="s">
        <v>97</v>
      </c>
      <c r="O2" t="s">
        <v>98</v>
      </c>
      <c r="P2" t="s">
        <v>99</v>
      </c>
      <c r="Q2" t="s">
        <v>100</v>
      </c>
      <c r="R2" t="s">
        <v>100</v>
      </c>
      <c r="S2" t="s">
        <v>101</v>
      </c>
      <c r="U2" t="s">
        <v>341</v>
      </c>
    </row>
    <row r="3" spans="1:21" x14ac:dyDescent="0.2">
      <c r="A3" s="4">
        <f>Header!B4</f>
        <v>6738</v>
      </c>
      <c r="B3" s="4">
        <f>Header!C4</f>
        <v>1</v>
      </c>
      <c r="C3" t="s">
        <v>88</v>
      </c>
      <c r="D3" t="s">
        <v>27</v>
      </c>
      <c r="E3" t="s">
        <v>89</v>
      </c>
      <c r="F3" t="s">
        <v>27</v>
      </c>
      <c r="G3">
        <v>-30</v>
      </c>
      <c r="H3">
        <v>100</v>
      </c>
      <c r="I3" t="s">
        <v>28</v>
      </c>
      <c r="J3">
        <v>-30</v>
      </c>
      <c r="K3">
        <v>270</v>
      </c>
      <c r="L3" t="s">
        <v>95</v>
      </c>
      <c r="M3" t="s">
        <v>96</v>
      </c>
      <c r="N3" t="s">
        <v>97</v>
      </c>
      <c r="O3" t="s">
        <v>98</v>
      </c>
      <c r="P3" t="s">
        <v>99</v>
      </c>
      <c r="Q3" t="s">
        <v>100</v>
      </c>
      <c r="R3" t="s">
        <v>100</v>
      </c>
      <c r="S3" t="s">
        <v>101</v>
      </c>
      <c r="U3" t="s">
        <v>341</v>
      </c>
    </row>
    <row r="4" spans="1:21" x14ac:dyDescent="0.2">
      <c r="A4" s="4">
        <f>Header!B5</f>
        <v>6736</v>
      </c>
      <c r="B4" s="4">
        <f>Header!C5</f>
        <v>1</v>
      </c>
      <c r="C4" t="s">
        <v>88</v>
      </c>
      <c r="D4" t="s">
        <v>27</v>
      </c>
      <c r="E4" t="s">
        <v>89</v>
      </c>
      <c r="F4" t="s">
        <v>27</v>
      </c>
      <c r="G4">
        <v>-30</v>
      </c>
      <c r="H4">
        <v>100</v>
      </c>
      <c r="I4" t="s">
        <v>28</v>
      </c>
      <c r="J4">
        <v>-30</v>
      </c>
      <c r="K4">
        <v>270</v>
      </c>
      <c r="L4" t="s">
        <v>95</v>
      </c>
      <c r="M4" t="s">
        <v>96</v>
      </c>
      <c r="N4" t="s">
        <v>97</v>
      </c>
      <c r="O4" t="s">
        <v>98</v>
      </c>
      <c r="P4" t="s">
        <v>99</v>
      </c>
      <c r="Q4" t="s">
        <v>100</v>
      </c>
      <c r="R4" t="s">
        <v>100</v>
      </c>
      <c r="S4" t="s">
        <v>101</v>
      </c>
      <c r="U4" t="s">
        <v>341</v>
      </c>
    </row>
    <row r="5" spans="1:21" x14ac:dyDescent="0.2">
      <c r="A5" s="4">
        <f>Header!B6</f>
        <v>6736</v>
      </c>
      <c r="B5" s="4">
        <f>Header!C6</f>
        <v>2</v>
      </c>
      <c r="C5" t="s">
        <v>88</v>
      </c>
      <c r="D5" t="s">
        <v>27</v>
      </c>
      <c r="E5" t="s">
        <v>89</v>
      </c>
      <c r="F5" t="s">
        <v>27</v>
      </c>
      <c r="G5">
        <v>-30</v>
      </c>
      <c r="H5">
        <v>100</v>
      </c>
      <c r="I5" t="s">
        <v>28</v>
      </c>
      <c r="J5">
        <v>-30</v>
      </c>
      <c r="K5">
        <v>270</v>
      </c>
      <c r="L5" t="s">
        <v>95</v>
      </c>
      <c r="M5" t="s">
        <v>96</v>
      </c>
      <c r="N5" t="s">
        <v>97</v>
      </c>
      <c r="O5" t="s">
        <v>98</v>
      </c>
      <c r="P5" t="s">
        <v>99</v>
      </c>
      <c r="Q5" t="s">
        <v>100</v>
      </c>
      <c r="R5" t="s">
        <v>100</v>
      </c>
      <c r="S5" t="s">
        <v>101</v>
      </c>
      <c r="U5" t="s">
        <v>341</v>
      </c>
    </row>
    <row r="6" spans="1:21" x14ac:dyDescent="0.2">
      <c r="A6" s="4">
        <f>Header!B7</f>
        <v>6739</v>
      </c>
      <c r="B6" s="4">
        <f>Header!C7</f>
        <v>1</v>
      </c>
      <c r="C6" t="s">
        <v>88</v>
      </c>
      <c r="D6" t="s">
        <v>27</v>
      </c>
      <c r="E6" t="s">
        <v>89</v>
      </c>
      <c r="F6" t="s">
        <v>90</v>
      </c>
      <c r="G6">
        <v>-30</v>
      </c>
      <c r="H6">
        <v>100</v>
      </c>
      <c r="I6" t="s">
        <v>28</v>
      </c>
      <c r="J6">
        <v>-30</v>
      </c>
      <c r="K6">
        <v>270</v>
      </c>
      <c r="L6" t="s">
        <v>95</v>
      </c>
      <c r="M6" t="s">
        <v>96</v>
      </c>
      <c r="N6" t="s">
        <v>97</v>
      </c>
      <c r="O6" t="s">
        <v>98</v>
      </c>
      <c r="P6" t="s">
        <v>99</v>
      </c>
      <c r="Q6" t="s">
        <v>100</v>
      </c>
      <c r="R6" t="s">
        <v>100</v>
      </c>
      <c r="S6" t="s">
        <v>101</v>
      </c>
      <c r="U6" t="s">
        <v>341</v>
      </c>
    </row>
    <row r="7" spans="1:21" x14ac:dyDescent="0.2">
      <c r="A7" s="4">
        <f>Header!B8</f>
        <v>6739</v>
      </c>
      <c r="B7" s="4">
        <f>Header!C8</f>
        <v>2</v>
      </c>
      <c r="C7" t="s">
        <v>88</v>
      </c>
      <c r="D7" t="s">
        <v>27</v>
      </c>
      <c r="E7" t="s">
        <v>89</v>
      </c>
      <c r="F7" t="s">
        <v>90</v>
      </c>
      <c r="G7">
        <v>-30</v>
      </c>
      <c r="H7">
        <v>100</v>
      </c>
      <c r="I7" t="s">
        <v>28</v>
      </c>
      <c r="J7">
        <v>-30</v>
      </c>
      <c r="K7">
        <v>270</v>
      </c>
      <c r="L7" t="s">
        <v>95</v>
      </c>
      <c r="M7" t="s">
        <v>96</v>
      </c>
      <c r="N7" t="s">
        <v>97</v>
      </c>
      <c r="O7" t="s">
        <v>98</v>
      </c>
      <c r="P7" t="s">
        <v>99</v>
      </c>
      <c r="Q7" t="s">
        <v>100</v>
      </c>
      <c r="R7" t="s">
        <v>100</v>
      </c>
      <c r="S7" t="s">
        <v>101</v>
      </c>
      <c r="U7" t="s">
        <v>341</v>
      </c>
    </row>
    <row r="8" spans="1:21" x14ac:dyDescent="0.2">
      <c r="A8" s="4">
        <f>Header!B9</f>
        <v>6740</v>
      </c>
      <c r="B8" s="4">
        <f>Header!C9</f>
        <v>1</v>
      </c>
      <c r="C8" t="s">
        <v>88</v>
      </c>
      <c r="D8" t="s">
        <v>27</v>
      </c>
      <c r="E8" t="s">
        <v>89</v>
      </c>
      <c r="F8" t="s">
        <v>90</v>
      </c>
      <c r="G8">
        <v>-30</v>
      </c>
      <c r="H8">
        <v>100</v>
      </c>
      <c r="I8" t="s">
        <v>28</v>
      </c>
      <c r="J8">
        <v>-30</v>
      </c>
      <c r="K8">
        <v>270</v>
      </c>
      <c r="L8" t="s">
        <v>95</v>
      </c>
      <c r="M8" t="s">
        <v>96</v>
      </c>
      <c r="N8" t="s">
        <v>97</v>
      </c>
      <c r="O8" t="s">
        <v>98</v>
      </c>
      <c r="P8" t="s">
        <v>99</v>
      </c>
      <c r="Q8" t="s">
        <v>100</v>
      </c>
      <c r="R8" t="s">
        <v>100</v>
      </c>
      <c r="S8" t="s">
        <v>101</v>
      </c>
      <c r="U8" t="s">
        <v>341</v>
      </c>
    </row>
    <row r="9" spans="1:21" x14ac:dyDescent="0.2">
      <c r="A9" s="4">
        <f>Header!B10</f>
        <v>6741</v>
      </c>
      <c r="B9" s="4">
        <f>Header!C10</f>
        <v>2</v>
      </c>
      <c r="C9" t="s">
        <v>88</v>
      </c>
      <c r="D9" t="s">
        <v>27</v>
      </c>
      <c r="E9" t="s">
        <v>89</v>
      </c>
      <c r="F9" t="s">
        <v>90</v>
      </c>
      <c r="G9">
        <v>-30</v>
      </c>
      <c r="H9">
        <v>100</v>
      </c>
      <c r="I9" t="s">
        <v>28</v>
      </c>
      <c r="J9">
        <v>-30</v>
      </c>
      <c r="K9">
        <v>270</v>
      </c>
      <c r="L9" t="s">
        <v>95</v>
      </c>
      <c r="M9" t="s">
        <v>96</v>
      </c>
      <c r="N9" t="s">
        <v>97</v>
      </c>
      <c r="O9" t="s">
        <v>98</v>
      </c>
      <c r="P9" t="s">
        <v>99</v>
      </c>
      <c r="Q9" t="s">
        <v>100</v>
      </c>
      <c r="R9" t="s">
        <v>100</v>
      </c>
      <c r="S9" t="s">
        <v>101</v>
      </c>
      <c r="U9" t="s">
        <v>341</v>
      </c>
    </row>
    <row r="10" spans="1:21" x14ac:dyDescent="0.2">
      <c r="A10" s="4">
        <f>Header!B11</f>
        <v>6741</v>
      </c>
      <c r="B10" s="4">
        <f>Header!C11</f>
        <v>1</v>
      </c>
      <c r="C10" t="s">
        <v>88</v>
      </c>
      <c r="D10" t="s">
        <v>27</v>
      </c>
      <c r="E10" t="s">
        <v>89</v>
      </c>
      <c r="F10" t="s">
        <v>90</v>
      </c>
      <c r="G10">
        <v>-30</v>
      </c>
      <c r="H10">
        <v>100</v>
      </c>
      <c r="I10" t="s">
        <v>28</v>
      </c>
      <c r="J10">
        <v>-30</v>
      </c>
      <c r="K10">
        <v>270</v>
      </c>
      <c r="L10" t="s">
        <v>95</v>
      </c>
      <c r="M10" t="s">
        <v>96</v>
      </c>
      <c r="N10" t="s">
        <v>97</v>
      </c>
      <c r="O10" t="s">
        <v>98</v>
      </c>
      <c r="P10" t="s">
        <v>99</v>
      </c>
      <c r="Q10" t="s">
        <v>100</v>
      </c>
      <c r="R10" t="s">
        <v>100</v>
      </c>
      <c r="S10" t="s">
        <v>101</v>
      </c>
      <c r="U10" t="s">
        <v>341</v>
      </c>
    </row>
    <row r="11" spans="1:21" x14ac:dyDescent="0.2">
      <c r="A11" s="4">
        <f>Header!B12</f>
        <v>6742</v>
      </c>
      <c r="B11" s="4">
        <f>Header!C12</f>
        <v>2</v>
      </c>
      <c r="C11" t="s">
        <v>88</v>
      </c>
      <c r="D11" t="s">
        <v>27</v>
      </c>
      <c r="E11" t="s">
        <v>89</v>
      </c>
      <c r="F11" t="s">
        <v>90</v>
      </c>
      <c r="G11">
        <v>-30</v>
      </c>
      <c r="H11">
        <v>100</v>
      </c>
      <c r="I11" t="s">
        <v>28</v>
      </c>
      <c r="J11">
        <v>-30</v>
      </c>
      <c r="K11">
        <v>270</v>
      </c>
      <c r="L11" t="s">
        <v>95</v>
      </c>
      <c r="M11" t="s">
        <v>96</v>
      </c>
      <c r="N11" t="s">
        <v>97</v>
      </c>
      <c r="O11" t="s">
        <v>98</v>
      </c>
      <c r="P11" t="s">
        <v>99</v>
      </c>
      <c r="Q11" t="s">
        <v>100</v>
      </c>
      <c r="R11" t="s">
        <v>100</v>
      </c>
      <c r="S11" t="s">
        <v>101</v>
      </c>
      <c r="U11" t="s">
        <v>341</v>
      </c>
    </row>
    <row r="12" spans="1:21" x14ac:dyDescent="0.2">
      <c r="A12" s="4">
        <f>Header!B13</f>
        <v>6742</v>
      </c>
      <c r="B12" s="4">
        <f>Header!C13</f>
        <v>1</v>
      </c>
      <c r="C12" t="s">
        <v>88</v>
      </c>
      <c r="D12" t="s">
        <v>27</v>
      </c>
      <c r="E12" t="s">
        <v>89</v>
      </c>
      <c r="F12" t="s">
        <v>90</v>
      </c>
      <c r="G12">
        <v>-30</v>
      </c>
      <c r="H12">
        <v>100</v>
      </c>
      <c r="I12" t="s">
        <v>28</v>
      </c>
      <c r="J12">
        <v>-30</v>
      </c>
      <c r="K12">
        <v>270</v>
      </c>
      <c r="L12" t="s">
        <v>95</v>
      </c>
      <c r="M12" t="s">
        <v>96</v>
      </c>
      <c r="N12" t="s">
        <v>97</v>
      </c>
      <c r="O12" t="s">
        <v>98</v>
      </c>
      <c r="P12" t="s">
        <v>99</v>
      </c>
      <c r="Q12" t="s">
        <v>100</v>
      </c>
      <c r="R12" t="s">
        <v>100</v>
      </c>
      <c r="S12" t="s">
        <v>101</v>
      </c>
      <c r="U12" t="s">
        <v>341</v>
      </c>
    </row>
    <row r="13" spans="1:21" x14ac:dyDescent="0.2">
      <c r="A13" s="4">
        <f>Header!B14</f>
        <v>6746</v>
      </c>
      <c r="B13" s="4">
        <f>Header!C14</f>
        <v>2</v>
      </c>
      <c r="C13" t="s">
        <v>88</v>
      </c>
      <c r="D13" t="s">
        <v>27</v>
      </c>
      <c r="E13" t="s">
        <v>89</v>
      </c>
      <c r="F13" t="s">
        <v>90</v>
      </c>
      <c r="G13">
        <v>-30</v>
      </c>
      <c r="H13">
        <v>100</v>
      </c>
      <c r="I13" t="s">
        <v>28</v>
      </c>
      <c r="J13">
        <v>-30</v>
      </c>
      <c r="K13">
        <v>270</v>
      </c>
      <c r="L13" t="s">
        <v>95</v>
      </c>
      <c r="M13" t="s">
        <v>96</v>
      </c>
      <c r="N13" t="s">
        <v>97</v>
      </c>
      <c r="O13" t="s">
        <v>98</v>
      </c>
      <c r="P13" t="s">
        <v>99</v>
      </c>
      <c r="Q13" t="s">
        <v>100</v>
      </c>
      <c r="R13" t="s">
        <v>100</v>
      </c>
      <c r="S13" t="s">
        <v>101</v>
      </c>
      <c r="U13" t="s">
        <v>341</v>
      </c>
    </row>
    <row r="14" spans="1:21" x14ac:dyDescent="0.2">
      <c r="A14" s="4">
        <f>Header!B15</f>
        <v>6746</v>
      </c>
      <c r="B14" s="4">
        <f>Header!C15</f>
        <v>1</v>
      </c>
      <c r="C14" t="s">
        <v>88</v>
      </c>
      <c r="D14" t="s">
        <v>27</v>
      </c>
      <c r="E14" t="s">
        <v>89</v>
      </c>
      <c r="F14" t="s">
        <v>90</v>
      </c>
      <c r="G14">
        <v>-30</v>
      </c>
      <c r="H14">
        <v>100</v>
      </c>
      <c r="I14" t="s">
        <v>28</v>
      </c>
      <c r="J14">
        <v>-30</v>
      </c>
      <c r="K14">
        <v>270</v>
      </c>
      <c r="L14" t="s">
        <v>95</v>
      </c>
      <c r="M14" t="s">
        <v>96</v>
      </c>
      <c r="N14" t="s">
        <v>97</v>
      </c>
      <c r="O14" t="s">
        <v>98</v>
      </c>
      <c r="P14" t="s">
        <v>99</v>
      </c>
      <c r="Q14" t="s">
        <v>100</v>
      </c>
      <c r="R14" t="s">
        <v>100</v>
      </c>
      <c r="S14" t="s">
        <v>101</v>
      </c>
      <c r="U14" t="s">
        <v>341</v>
      </c>
    </row>
    <row r="15" spans="1:21" x14ac:dyDescent="0.2">
      <c r="A15" s="4">
        <f>Header!B16</f>
        <v>6745</v>
      </c>
      <c r="B15" s="4">
        <f>Header!C16</f>
        <v>2</v>
      </c>
      <c r="C15" t="s">
        <v>88</v>
      </c>
      <c r="D15" t="s">
        <v>27</v>
      </c>
      <c r="E15" t="s">
        <v>89</v>
      </c>
      <c r="F15" t="s">
        <v>90</v>
      </c>
      <c r="G15">
        <v>-30</v>
      </c>
      <c r="H15">
        <v>100</v>
      </c>
      <c r="I15" t="s">
        <v>28</v>
      </c>
      <c r="J15">
        <v>-30</v>
      </c>
      <c r="K15">
        <v>270</v>
      </c>
      <c r="L15" t="s">
        <v>95</v>
      </c>
      <c r="M15" t="s">
        <v>96</v>
      </c>
      <c r="N15" t="s">
        <v>97</v>
      </c>
      <c r="O15" t="s">
        <v>98</v>
      </c>
      <c r="P15" t="s">
        <v>99</v>
      </c>
      <c r="Q15" t="s">
        <v>100</v>
      </c>
      <c r="R15" t="s">
        <v>100</v>
      </c>
      <c r="S15" t="s">
        <v>101</v>
      </c>
      <c r="U15" t="s">
        <v>341</v>
      </c>
    </row>
    <row r="16" spans="1:21" x14ac:dyDescent="0.2">
      <c r="A16" s="4">
        <f>Header!B17</f>
        <v>6745</v>
      </c>
      <c r="B16" s="4">
        <f>Header!C17</f>
        <v>1</v>
      </c>
      <c r="C16" t="s">
        <v>88</v>
      </c>
      <c r="D16" t="s">
        <v>27</v>
      </c>
      <c r="E16" t="s">
        <v>89</v>
      </c>
      <c r="F16" t="s">
        <v>90</v>
      </c>
      <c r="G16">
        <v>-30</v>
      </c>
      <c r="H16">
        <v>100</v>
      </c>
      <c r="I16" t="s">
        <v>28</v>
      </c>
      <c r="J16">
        <v>-30</v>
      </c>
      <c r="K16">
        <v>270</v>
      </c>
      <c r="L16" t="s">
        <v>95</v>
      </c>
      <c r="M16" t="s">
        <v>96</v>
      </c>
      <c r="N16" t="s">
        <v>97</v>
      </c>
      <c r="O16" t="s">
        <v>98</v>
      </c>
      <c r="P16" t="s">
        <v>99</v>
      </c>
      <c r="Q16" t="s">
        <v>100</v>
      </c>
      <c r="R16" t="s">
        <v>100</v>
      </c>
      <c r="S16" t="s">
        <v>101</v>
      </c>
      <c r="U16" t="s">
        <v>341</v>
      </c>
    </row>
    <row r="17" spans="1:21" x14ac:dyDescent="0.2">
      <c r="A17" s="4">
        <f>Header!B18</f>
        <v>6744</v>
      </c>
      <c r="B17" s="4">
        <f>Header!C18</f>
        <v>2</v>
      </c>
      <c r="C17" t="s">
        <v>88</v>
      </c>
      <c r="D17" t="s">
        <v>27</v>
      </c>
      <c r="E17" t="s">
        <v>89</v>
      </c>
      <c r="F17" t="s">
        <v>90</v>
      </c>
      <c r="G17">
        <v>-30</v>
      </c>
      <c r="H17">
        <v>100</v>
      </c>
      <c r="I17" t="s">
        <v>28</v>
      </c>
      <c r="J17">
        <v>-30</v>
      </c>
      <c r="K17">
        <v>270</v>
      </c>
      <c r="L17" t="s">
        <v>95</v>
      </c>
      <c r="M17" t="s">
        <v>96</v>
      </c>
      <c r="N17" t="s">
        <v>97</v>
      </c>
      <c r="O17" t="s">
        <v>98</v>
      </c>
      <c r="P17" t="s">
        <v>99</v>
      </c>
      <c r="Q17" t="s">
        <v>100</v>
      </c>
      <c r="R17" t="s">
        <v>100</v>
      </c>
      <c r="S17" t="s">
        <v>101</v>
      </c>
      <c r="U17" t="s">
        <v>341</v>
      </c>
    </row>
    <row r="18" spans="1:21" x14ac:dyDescent="0.2">
      <c r="A18" s="4">
        <f>Header!B19</f>
        <v>6744</v>
      </c>
      <c r="B18" s="4">
        <f>Header!C19</f>
        <v>1</v>
      </c>
      <c r="C18" t="s">
        <v>88</v>
      </c>
      <c r="D18" t="s">
        <v>27</v>
      </c>
      <c r="E18" t="s">
        <v>89</v>
      </c>
      <c r="F18" t="s">
        <v>90</v>
      </c>
      <c r="G18">
        <v>-30</v>
      </c>
      <c r="H18">
        <v>100</v>
      </c>
      <c r="I18" t="s">
        <v>28</v>
      </c>
      <c r="J18">
        <v>-30</v>
      </c>
      <c r="K18">
        <v>270</v>
      </c>
      <c r="L18" t="s">
        <v>95</v>
      </c>
      <c r="M18" t="s">
        <v>96</v>
      </c>
      <c r="N18" t="s">
        <v>97</v>
      </c>
      <c r="O18" t="s">
        <v>98</v>
      </c>
      <c r="P18" t="s">
        <v>99</v>
      </c>
      <c r="Q18" t="s">
        <v>100</v>
      </c>
      <c r="R18" t="s">
        <v>100</v>
      </c>
      <c r="S18" t="s">
        <v>101</v>
      </c>
      <c r="U18" t="s">
        <v>341</v>
      </c>
    </row>
    <row r="19" spans="1:21" x14ac:dyDescent="0.2">
      <c r="A19" s="4">
        <f>Header!B20</f>
        <v>6747</v>
      </c>
      <c r="B19" s="4">
        <f>Header!C20</f>
        <v>2</v>
      </c>
      <c r="C19" t="s">
        <v>88</v>
      </c>
      <c r="D19" t="s">
        <v>27</v>
      </c>
      <c r="E19" t="s">
        <v>89</v>
      </c>
      <c r="F19" t="s">
        <v>90</v>
      </c>
      <c r="G19">
        <v>-30</v>
      </c>
      <c r="H19">
        <v>100</v>
      </c>
      <c r="I19" t="s">
        <v>28</v>
      </c>
      <c r="J19">
        <v>-30</v>
      </c>
      <c r="K19">
        <v>270</v>
      </c>
      <c r="L19" t="s">
        <v>95</v>
      </c>
      <c r="M19" t="s">
        <v>96</v>
      </c>
      <c r="N19" t="s">
        <v>97</v>
      </c>
      <c r="O19" t="s">
        <v>98</v>
      </c>
      <c r="P19" t="s">
        <v>99</v>
      </c>
      <c r="Q19" t="s">
        <v>100</v>
      </c>
      <c r="R19" t="s">
        <v>100</v>
      </c>
      <c r="S19" t="s">
        <v>101</v>
      </c>
      <c r="U19" t="s">
        <v>341</v>
      </c>
    </row>
    <row r="20" spans="1:21" x14ac:dyDescent="0.2">
      <c r="A20" s="4">
        <f>Header!B21</f>
        <v>6747</v>
      </c>
      <c r="B20" s="4">
        <f>Header!C21</f>
        <v>1</v>
      </c>
      <c r="C20" t="s">
        <v>88</v>
      </c>
      <c r="D20" t="s">
        <v>27</v>
      </c>
      <c r="E20" t="s">
        <v>89</v>
      </c>
      <c r="F20" t="s">
        <v>90</v>
      </c>
      <c r="G20">
        <v>-30</v>
      </c>
      <c r="H20">
        <v>100</v>
      </c>
      <c r="I20" t="s">
        <v>28</v>
      </c>
      <c r="J20">
        <v>-30</v>
      </c>
      <c r="K20">
        <v>270</v>
      </c>
      <c r="L20" t="s">
        <v>95</v>
      </c>
      <c r="M20" t="s">
        <v>96</v>
      </c>
      <c r="N20" t="s">
        <v>97</v>
      </c>
      <c r="O20" t="s">
        <v>98</v>
      </c>
      <c r="P20" t="s">
        <v>99</v>
      </c>
      <c r="Q20" t="s">
        <v>100</v>
      </c>
      <c r="R20" t="s">
        <v>100</v>
      </c>
      <c r="S20" t="s">
        <v>101</v>
      </c>
      <c r="U20" t="s">
        <v>341</v>
      </c>
    </row>
    <row r="21" spans="1:21" x14ac:dyDescent="0.2">
      <c r="A21" s="4">
        <f>Header!B22</f>
        <v>6748</v>
      </c>
      <c r="B21" s="4">
        <f>Header!C22</f>
        <v>2</v>
      </c>
      <c r="C21" t="s">
        <v>88</v>
      </c>
      <c r="D21" t="s">
        <v>27</v>
      </c>
      <c r="E21" t="s">
        <v>89</v>
      </c>
      <c r="F21" t="s">
        <v>90</v>
      </c>
      <c r="G21">
        <v>-30</v>
      </c>
      <c r="H21">
        <v>100</v>
      </c>
      <c r="I21" t="s">
        <v>28</v>
      </c>
      <c r="J21">
        <v>-30</v>
      </c>
      <c r="K21">
        <v>270</v>
      </c>
      <c r="L21" t="s">
        <v>95</v>
      </c>
      <c r="M21" t="s">
        <v>96</v>
      </c>
      <c r="N21" t="s">
        <v>97</v>
      </c>
      <c r="O21" t="s">
        <v>98</v>
      </c>
      <c r="P21" t="s">
        <v>99</v>
      </c>
      <c r="Q21" t="s">
        <v>100</v>
      </c>
      <c r="R21" t="s">
        <v>100</v>
      </c>
      <c r="S21" t="s">
        <v>101</v>
      </c>
      <c r="U21" t="s">
        <v>341</v>
      </c>
    </row>
    <row r="22" spans="1:21" x14ac:dyDescent="0.2">
      <c r="A22" s="4">
        <f>Header!B23</f>
        <v>6748</v>
      </c>
      <c r="B22" s="4">
        <f>Header!C23</f>
        <v>3</v>
      </c>
      <c r="C22" t="s">
        <v>88</v>
      </c>
      <c r="D22" t="s">
        <v>27</v>
      </c>
      <c r="E22" t="s">
        <v>89</v>
      </c>
      <c r="F22" t="s">
        <v>90</v>
      </c>
      <c r="G22">
        <v>-30</v>
      </c>
      <c r="H22">
        <v>100</v>
      </c>
      <c r="I22" t="s">
        <v>28</v>
      </c>
      <c r="J22">
        <v>-30</v>
      </c>
      <c r="K22">
        <v>270</v>
      </c>
      <c r="L22" t="s">
        <v>95</v>
      </c>
      <c r="M22" t="s">
        <v>96</v>
      </c>
      <c r="N22" t="s">
        <v>97</v>
      </c>
      <c r="O22" t="s">
        <v>98</v>
      </c>
      <c r="P22" t="s">
        <v>99</v>
      </c>
      <c r="Q22" t="s">
        <v>100</v>
      </c>
      <c r="R22" t="s">
        <v>100</v>
      </c>
      <c r="S22" t="s">
        <v>101</v>
      </c>
      <c r="U22" t="s">
        <v>341</v>
      </c>
    </row>
    <row r="23" spans="1:21" x14ac:dyDescent="0.2">
      <c r="A23" s="4">
        <f>Header!B24</f>
        <v>6755</v>
      </c>
      <c r="B23" s="4">
        <f>Header!C24</f>
        <v>2</v>
      </c>
      <c r="C23" t="s">
        <v>88</v>
      </c>
      <c r="D23" t="s">
        <v>27</v>
      </c>
      <c r="E23" t="s">
        <v>89</v>
      </c>
      <c r="F23" t="s">
        <v>90</v>
      </c>
      <c r="G23">
        <v>-30</v>
      </c>
      <c r="H23">
        <v>100</v>
      </c>
      <c r="I23" t="s">
        <v>28</v>
      </c>
      <c r="J23">
        <v>-30</v>
      </c>
      <c r="K23">
        <v>270</v>
      </c>
      <c r="L23" t="s">
        <v>95</v>
      </c>
      <c r="M23" t="s">
        <v>96</v>
      </c>
      <c r="N23" t="s">
        <v>97</v>
      </c>
      <c r="O23" t="s">
        <v>98</v>
      </c>
      <c r="P23" t="s">
        <v>99</v>
      </c>
      <c r="Q23" t="s">
        <v>100</v>
      </c>
      <c r="R23" t="s">
        <v>100</v>
      </c>
      <c r="S23" t="s">
        <v>101</v>
      </c>
      <c r="U23" t="s">
        <v>341</v>
      </c>
    </row>
    <row r="24" spans="1:21" x14ac:dyDescent="0.2">
      <c r="A24" s="4">
        <f>Header!B25</f>
        <v>6755</v>
      </c>
      <c r="B24" s="4">
        <f>Header!C25</f>
        <v>1</v>
      </c>
      <c r="C24" t="s">
        <v>88</v>
      </c>
      <c r="D24" t="s">
        <v>27</v>
      </c>
      <c r="E24" t="s">
        <v>89</v>
      </c>
      <c r="F24" t="s">
        <v>90</v>
      </c>
      <c r="G24">
        <v>-30</v>
      </c>
      <c r="H24">
        <v>100</v>
      </c>
      <c r="I24" t="s">
        <v>28</v>
      </c>
      <c r="J24">
        <v>-30</v>
      </c>
      <c r="K24">
        <v>270</v>
      </c>
      <c r="L24" t="s">
        <v>95</v>
      </c>
      <c r="M24" t="s">
        <v>96</v>
      </c>
      <c r="N24" t="s">
        <v>97</v>
      </c>
      <c r="O24" t="s">
        <v>98</v>
      </c>
      <c r="P24" t="s">
        <v>99</v>
      </c>
      <c r="Q24" t="s">
        <v>100</v>
      </c>
      <c r="R24" t="s">
        <v>100</v>
      </c>
      <c r="S24" t="s">
        <v>101</v>
      </c>
      <c r="U24" t="s">
        <v>341</v>
      </c>
    </row>
    <row r="25" spans="1:21" x14ac:dyDescent="0.2">
      <c r="A25" s="4">
        <f>Header!B26</f>
        <v>6754</v>
      </c>
      <c r="B25" s="4">
        <f>Header!C26</f>
        <v>1</v>
      </c>
      <c r="C25" t="s">
        <v>88</v>
      </c>
      <c r="D25" t="s">
        <v>27</v>
      </c>
      <c r="E25" t="s">
        <v>89</v>
      </c>
      <c r="F25" t="s">
        <v>90</v>
      </c>
      <c r="G25">
        <v>-30</v>
      </c>
      <c r="H25">
        <v>100</v>
      </c>
      <c r="I25" t="s">
        <v>28</v>
      </c>
      <c r="J25">
        <v>-30</v>
      </c>
      <c r="K25">
        <v>270</v>
      </c>
      <c r="L25" t="s">
        <v>95</v>
      </c>
      <c r="M25" t="s">
        <v>96</v>
      </c>
      <c r="N25" t="s">
        <v>97</v>
      </c>
      <c r="O25" t="s">
        <v>98</v>
      </c>
      <c r="P25" t="s">
        <v>99</v>
      </c>
      <c r="Q25" t="s">
        <v>100</v>
      </c>
      <c r="R25" t="s">
        <v>100</v>
      </c>
      <c r="S25" t="s">
        <v>101</v>
      </c>
      <c r="U25" t="s">
        <v>341</v>
      </c>
    </row>
    <row r="26" spans="1:21" x14ac:dyDescent="0.2">
      <c r="A26" s="4">
        <f>Header!B27</f>
        <v>6749</v>
      </c>
      <c r="B26" s="4">
        <f>Header!C27</f>
        <v>1</v>
      </c>
      <c r="C26" t="s">
        <v>88</v>
      </c>
      <c r="D26" t="s">
        <v>27</v>
      </c>
      <c r="E26" t="s">
        <v>89</v>
      </c>
      <c r="F26" t="s">
        <v>90</v>
      </c>
      <c r="G26">
        <v>-30</v>
      </c>
      <c r="H26">
        <v>100</v>
      </c>
      <c r="I26" t="s">
        <v>28</v>
      </c>
      <c r="J26">
        <v>-30</v>
      </c>
      <c r="K26">
        <v>270</v>
      </c>
      <c r="L26" t="s">
        <v>95</v>
      </c>
      <c r="M26" t="s">
        <v>96</v>
      </c>
      <c r="N26" t="s">
        <v>97</v>
      </c>
      <c r="O26" t="s">
        <v>98</v>
      </c>
      <c r="P26" t="s">
        <v>99</v>
      </c>
      <c r="Q26" t="s">
        <v>100</v>
      </c>
      <c r="R26" t="s">
        <v>100</v>
      </c>
      <c r="S26" t="s">
        <v>101</v>
      </c>
      <c r="U26" t="s">
        <v>341</v>
      </c>
    </row>
    <row r="27" spans="1:21" x14ac:dyDescent="0.2">
      <c r="A27" s="4">
        <f>Header!B28</f>
        <v>6749</v>
      </c>
      <c r="B27" s="4">
        <f>Header!C28</f>
        <v>2</v>
      </c>
      <c r="C27" t="s">
        <v>88</v>
      </c>
      <c r="D27" t="s">
        <v>27</v>
      </c>
      <c r="E27" t="s">
        <v>89</v>
      </c>
      <c r="F27" t="s">
        <v>90</v>
      </c>
      <c r="G27">
        <v>-30</v>
      </c>
      <c r="H27">
        <v>100</v>
      </c>
      <c r="I27" t="s">
        <v>28</v>
      </c>
      <c r="J27">
        <v>-30</v>
      </c>
      <c r="K27">
        <v>270</v>
      </c>
      <c r="L27" t="s">
        <v>95</v>
      </c>
      <c r="M27" t="s">
        <v>96</v>
      </c>
      <c r="N27" t="s">
        <v>97</v>
      </c>
      <c r="O27" t="s">
        <v>98</v>
      </c>
      <c r="P27" t="s">
        <v>99</v>
      </c>
      <c r="Q27" t="s">
        <v>100</v>
      </c>
      <c r="R27" t="s">
        <v>100</v>
      </c>
      <c r="S27" t="s">
        <v>101</v>
      </c>
      <c r="U27" t="s">
        <v>341</v>
      </c>
    </row>
    <row r="28" spans="1:21" x14ac:dyDescent="0.2">
      <c r="A28" s="4">
        <f>Header!B29</f>
        <v>6753</v>
      </c>
      <c r="B28" s="4">
        <f>Header!C29</f>
        <v>2</v>
      </c>
      <c r="C28" t="s">
        <v>88</v>
      </c>
      <c r="D28" t="s">
        <v>27</v>
      </c>
      <c r="E28" t="s">
        <v>89</v>
      </c>
      <c r="F28" t="s">
        <v>90</v>
      </c>
      <c r="G28">
        <v>-30</v>
      </c>
      <c r="H28">
        <v>100</v>
      </c>
      <c r="I28" t="s">
        <v>28</v>
      </c>
      <c r="J28">
        <v>-30</v>
      </c>
      <c r="K28">
        <v>270</v>
      </c>
      <c r="L28" t="s">
        <v>95</v>
      </c>
      <c r="M28" t="s">
        <v>96</v>
      </c>
      <c r="N28" t="s">
        <v>97</v>
      </c>
      <c r="O28" t="s">
        <v>98</v>
      </c>
      <c r="P28" t="s">
        <v>99</v>
      </c>
      <c r="Q28" t="s">
        <v>100</v>
      </c>
      <c r="R28" t="s">
        <v>100</v>
      </c>
      <c r="S28" t="s">
        <v>101</v>
      </c>
      <c r="U28" t="s">
        <v>341</v>
      </c>
    </row>
    <row r="29" spans="1:21" x14ac:dyDescent="0.2">
      <c r="A29" s="4">
        <f>Header!B30</f>
        <v>6753</v>
      </c>
      <c r="B29" s="4">
        <f>Header!C30</f>
        <v>1</v>
      </c>
      <c r="C29" t="s">
        <v>88</v>
      </c>
      <c r="D29" t="s">
        <v>27</v>
      </c>
      <c r="E29" t="s">
        <v>89</v>
      </c>
      <c r="F29" t="s">
        <v>90</v>
      </c>
      <c r="G29">
        <v>-30</v>
      </c>
      <c r="H29">
        <v>100</v>
      </c>
      <c r="I29" t="s">
        <v>28</v>
      </c>
      <c r="J29">
        <v>-30</v>
      </c>
      <c r="K29">
        <v>270</v>
      </c>
      <c r="L29" t="s">
        <v>95</v>
      </c>
      <c r="M29" t="s">
        <v>96</v>
      </c>
      <c r="N29" t="s">
        <v>97</v>
      </c>
      <c r="O29" t="s">
        <v>98</v>
      </c>
      <c r="P29" t="s">
        <v>99</v>
      </c>
      <c r="Q29" t="s">
        <v>100</v>
      </c>
      <c r="R29" t="s">
        <v>100</v>
      </c>
      <c r="S29" t="s">
        <v>101</v>
      </c>
      <c r="U29" t="s">
        <v>341</v>
      </c>
    </row>
    <row r="30" spans="1:21" x14ac:dyDescent="0.2">
      <c r="A30" s="4">
        <f>Header!B31</f>
        <v>6756</v>
      </c>
      <c r="B30" s="4">
        <f>Header!C31</f>
        <v>2</v>
      </c>
      <c r="C30" t="s">
        <v>88</v>
      </c>
      <c r="D30" t="s">
        <v>27</v>
      </c>
      <c r="E30" t="s">
        <v>89</v>
      </c>
      <c r="F30" t="s">
        <v>90</v>
      </c>
      <c r="G30">
        <v>-30</v>
      </c>
      <c r="H30">
        <v>100</v>
      </c>
      <c r="I30" t="s">
        <v>28</v>
      </c>
      <c r="J30">
        <v>-30</v>
      </c>
      <c r="K30">
        <v>270</v>
      </c>
      <c r="L30" t="s">
        <v>95</v>
      </c>
      <c r="M30" t="s">
        <v>96</v>
      </c>
      <c r="N30" t="s">
        <v>97</v>
      </c>
      <c r="O30" t="s">
        <v>98</v>
      </c>
      <c r="P30" t="s">
        <v>99</v>
      </c>
      <c r="Q30" t="s">
        <v>100</v>
      </c>
      <c r="R30" t="s">
        <v>100</v>
      </c>
      <c r="S30" t="s">
        <v>101</v>
      </c>
      <c r="U30" t="s">
        <v>341</v>
      </c>
    </row>
    <row r="31" spans="1:21" x14ac:dyDescent="0.2">
      <c r="A31" s="4">
        <f>Header!B32</f>
        <v>6756</v>
      </c>
      <c r="B31" s="4">
        <f>Header!C32</f>
        <v>1</v>
      </c>
      <c r="C31" t="s">
        <v>88</v>
      </c>
      <c r="D31" t="s">
        <v>27</v>
      </c>
      <c r="E31" t="s">
        <v>89</v>
      </c>
      <c r="F31" t="s">
        <v>90</v>
      </c>
      <c r="G31">
        <v>-30</v>
      </c>
      <c r="H31">
        <v>100</v>
      </c>
      <c r="I31" t="s">
        <v>28</v>
      </c>
      <c r="J31">
        <v>-30</v>
      </c>
      <c r="K31">
        <v>270</v>
      </c>
      <c r="L31" t="s">
        <v>95</v>
      </c>
      <c r="M31" t="s">
        <v>96</v>
      </c>
      <c r="N31" t="s">
        <v>97</v>
      </c>
      <c r="O31" t="s">
        <v>98</v>
      </c>
      <c r="P31" t="s">
        <v>99</v>
      </c>
      <c r="Q31" t="s">
        <v>100</v>
      </c>
      <c r="R31" t="s">
        <v>100</v>
      </c>
      <c r="S31" t="s">
        <v>101</v>
      </c>
      <c r="U31" t="s">
        <v>341</v>
      </c>
    </row>
    <row r="32" spans="1:21" x14ac:dyDescent="0.2">
      <c r="A32" s="4">
        <f>Header!B33</f>
        <v>6757</v>
      </c>
      <c r="B32" s="4">
        <f>Header!C33</f>
        <v>2</v>
      </c>
      <c r="C32" t="s">
        <v>88</v>
      </c>
      <c r="D32" t="s">
        <v>27</v>
      </c>
      <c r="E32" t="s">
        <v>89</v>
      </c>
      <c r="F32" t="s">
        <v>90</v>
      </c>
      <c r="G32">
        <v>-30</v>
      </c>
      <c r="H32">
        <v>100</v>
      </c>
      <c r="I32" t="s">
        <v>28</v>
      </c>
      <c r="J32">
        <v>-30</v>
      </c>
      <c r="K32">
        <v>270</v>
      </c>
      <c r="L32" t="s">
        <v>95</v>
      </c>
      <c r="M32" t="s">
        <v>96</v>
      </c>
      <c r="N32" t="s">
        <v>97</v>
      </c>
      <c r="O32" t="s">
        <v>98</v>
      </c>
      <c r="P32" t="s">
        <v>99</v>
      </c>
      <c r="Q32" t="s">
        <v>100</v>
      </c>
      <c r="R32" t="s">
        <v>100</v>
      </c>
      <c r="S32" t="s">
        <v>101</v>
      </c>
      <c r="U32" t="s">
        <v>341</v>
      </c>
    </row>
    <row r="33" spans="1:21" x14ac:dyDescent="0.2">
      <c r="A33" s="4">
        <f>Header!B34</f>
        <v>6757</v>
      </c>
      <c r="B33" s="4">
        <f>Header!C34</f>
        <v>1</v>
      </c>
      <c r="C33" t="s">
        <v>88</v>
      </c>
      <c r="D33" t="s">
        <v>27</v>
      </c>
      <c r="E33" t="s">
        <v>89</v>
      </c>
      <c r="F33" t="s">
        <v>90</v>
      </c>
      <c r="G33">
        <v>-30</v>
      </c>
      <c r="H33">
        <v>100</v>
      </c>
      <c r="I33" t="s">
        <v>28</v>
      </c>
      <c r="J33">
        <v>-30</v>
      </c>
      <c r="K33">
        <v>270</v>
      </c>
      <c r="L33" t="s">
        <v>95</v>
      </c>
      <c r="M33" t="s">
        <v>96</v>
      </c>
      <c r="N33" t="s">
        <v>97</v>
      </c>
      <c r="O33" t="s">
        <v>98</v>
      </c>
      <c r="P33" t="s">
        <v>99</v>
      </c>
      <c r="Q33" t="s">
        <v>100</v>
      </c>
      <c r="R33" t="s">
        <v>100</v>
      </c>
      <c r="S33" t="s">
        <v>101</v>
      </c>
      <c r="U33" t="s">
        <v>341</v>
      </c>
    </row>
    <row r="34" spans="1:21" x14ac:dyDescent="0.2">
      <c r="A34" s="4">
        <f>Header!B35</f>
        <v>6758</v>
      </c>
      <c r="B34" s="4">
        <f>Header!C35</f>
        <v>1</v>
      </c>
      <c r="C34" t="s">
        <v>88</v>
      </c>
      <c r="D34" t="s">
        <v>27</v>
      </c>
      <c r="E34" t="s">
        <v>335</v>
      </c>
      <c r="F34" t="s">
        <v>336</v>
      </c>
      <c r="G34">
        <v>-30</v>
      </c>
      <c r="H34">
        <v>100</v>
      </c>
      <c r="I34" t="s">
        <v>28</v>
      </c>
      <c r="J34">
        <v>-30</v>
      </c>
      <c r="K34">
        <v>270</v>
      </c>
      <c r="L34" t="s">
        <v>95</v>
      </c>
      <c r="M34" t="s">
        <v>96</v>
      </c>
      <c r="N34" t="s">
        <v>97</v>
      </c>
      <c r="O34" t="s">
        <v>98</v>
      </c>
      <c r="P34" t="s">
        <v>99</v>
      </c>
      <c r="Q34" t="s">
        <v>100</v>
      </c>
      <c r="R34" t="s">
        <v>100</v>
      </c>
      <c r="S34" t="s">
        <v>101</v>
      </c>
      <c r="U34" t="s">
        <v>341</v>
      </c>
    </row>
    <row r="35" spans="1:21" x14ac:dyDescent="0.2">
      <c r="A35" s="4">
        <f>Header!B36</f>
        <v>6758</v>
      </c>
      <c r="B35" s="4">
        <f>Header!C36</f>
        <v>2</v>
      </c>
      <c r="C35" t="s">
        <v>88</v>
      </c>
      <c r="D35" t="s">
        <v>27</v>
      </c>
      <c r="E35" t="s">
        <v>335</v>
      </c>
      <c r="F35" t="s">
        <v>336</v>
      </c>
      <c r="G35">
        <v>-30</v>
      </c>
      <c r="H35">
        <v>100</v>
      </c>
      <c r="I35" t="s">
        <v>28</v>
      </c>
      <c r="J35">
        <v>-30</v>
      </c>
      <c r="K35">
        <v>270</v>
      </c>
      <c r="L35" t="s">
        <v>95</v>
      </c>
      <c r="M35" t="s">
        <v>96</v>
      </c>
      <c r="N35" t="s">
        <v>97</v>
      </c>
      <c r="O35" t="s">
        <v>98</v>
      </c>
      <c r="P35" t="s">
        <v>99</v>
      </c>
      <c r="Q35" t="s">
        <v>100</v>
      </c>
      <c r="R35" t="s">
        <v>100</v>
      </c>
      <c r="S35" t="s">
        <v>101</v>
      </c>
      <c r="U35" t="s">
        <v>341</v>
      </c>
    </row>
    <row r="36" spans="1:21" x14ac:dyDescent="0.2">
      <c r="A36" s="4">
        <f>Header!B37</f>
        <v>6759</v>
      </c>
      <c r="B36" s="4">
        <f>Header!C37</f>
        <v>2</v>
      </c>
      <c r="C36" t="s">
        <v>88</v>
      </c>
      <c r="D36" t="s">
        <v>27</v>
      </c>
      <c r="E36" t="s">
        <v>335</v>
      </c>
      <c r="F36" t="s">
        <v>336</v>
      </c>
      <c r="G36">
        <v>-30</v>
      </c>
      <c r="H36">
        <v>100</v>
      </c>
      <c r="I36" t="s">
        <v>28</v>
      </c>
      <c r="J36">
        <v>-30</v>
      </c>
      <c r="K36">
        <v>270</v>
      </c>
      <c r="L36" t="s">
        <v>95</v>
      </c>
      <c r="M36" t="s">
        <v>96</v>
      </c>
      <c r="N36" t="s">
        <v>97</v>
      </c>
      <c r="O36" t="s">
        <v>98</v>
      </c>
      <c r="P36" t="s">
        <v>99</v>
      </c>
      <c r="Q36" t="s">
        <v>100</v>
      </c>
      <c r="R36" t="s">
        <v>100</v>
      </c>
      <c r="S36" t="s">
        <v>101</v>
      </c>
      <c r="U36" t="s">
        <v>341</v>
      </c>
    </row>
    <row r="37" spans="1:21" x14ac:dyDescent="0.2">
      <c r="A37" s="4">
        <f>Header!B38</f>
        <v>6759</v>
      </c>
      <c r="B37" s="4">
        <f>Header!C38</f>
        <v>1</v>
      </c>
      <c r="C37" t="s">
        <v>88</v>
      </c>
      <c r="D37" t="s">
        <v>90</v>
      </c>
      <c r="E37" t="s">
        <v>335</v>
      </c>
      <c r="F37" t="s">
        <v>336</v>
      </c>
      <c r="G37">
        <v>-30</v>
      </c>
      <c r="H37">
        <v>100</v>
      </c>
      <c r="I37" t="s">
        <v>28</v>
      </c>
      <c r="J37">
        <v>-30</v>
      </c>
      <c r="K37">
        <v>270</v>
      </c>
      <c r="L37" t="s">
        <v>95</v>
      </c>
      <c r="M37" t="s">
        <v>96</v>
      </c>
      <c r="N37" t="s">
        <v>97</v>
      </c>
      <c r="O37" t="s">
        <v>98</v>
      </c>
      <c r="P37" t="s">
        <v>99</v>
      </c>
      <c r="Q37" t="s">
        <v>100</v>
      </c>
      <c r="R37" t="s">
        <v>100</v>
      </c>
      <c r="S37" t="s">
        <v>101</v>
      </c>
      <c r="U37" t="s">
        <v>341</v>
      </c>
    </row>
    <row r="38" spans="1:21" x14ac:dyDescent="0.2">
      <c r="A38" s="4">
        <f>Header!B39</f>
        <v>6760</v>
      </c>
      <c r="B38" s="4">
        <f>Header!C39</f>
        <v>2</v>
      </c>
      <c r="C38" t="s">
        <v>335</v>
      </c>
      <c r="D38" t="s">
        <v>336</v>
      </c>
      <c r="E38" t="s">
        <v>337</v>
      </c>
      <c r="F38" t="s">
        <v>27</v>
      </c>
      <c r="G38">
        <v>-30</v>
      </c>
      <c r="H38">
        <v>100</v>
      </c>
      <c r="I38" t="s">
        <v>28</v>
      </c>
      <c r="J38">
        <v>-30</v>
      </c>
      <c r="K38">
        <v>270</v>
      </c>
      <c r="L38" t="s">
        <v>95</v>
      </c>
      <c r="M38" t="s">
        <v>96</v>
      </c>
      <c r="N38" t="s">
        <v>97</v>
      </c>
      <c r="O38" t="s">
        <v>98</v>
      </c>
      <c r="P38" t="s">
        <v>99</v>
      </c>
      <c r="Q38" t="s">
        <v>100</v>
      </c>
      <c r="R38" t="s">
        <v>100</v>
      </c>
      <c r="S38" t="s">
        <v>101</v>
      </c>
      <c r="U38" t="s">
        <v>341</v>
      </c>
    </row>
    <row r="39" spans="1:21" x14ac:dyDescent="0.2">
      <c r="A39" s="4">
        <f>Header!B40</f>
        <v>6762</v>
      </c>
      <c r="B39" s="4">
        <f>Header!C40</f>
        <v>1</v>
      </c>
      <c r="C39" t="s">
        <v>335</v>
      </c>
      <c r="D39" t="s">
        <v>336</v>
      </c>
      <c r="E39" t="s">
        <v>337</v>
      </c>
      <c r="F39" t="s">
        <v>27</v>
      </c>
      <c r="G39">
        <v>-30</v>
      </c>
      <c r="H39">
        <v>100</v>
      </c>
      <c r="I39" t="s">
        <v>28</v>
      </c>
      <c r="J39">
        <v>-30</v>
      </c>
      <c r="K39">
        <v>270</v>
      </c>
      <c r="L39" t="s">
        <v>95</v>
      </c>
      <c r="M39" t="s">
        <v>96</v>
      </c>
      <c r="N39" t="s">
        <v>97</v>
      </c>
      <c r="O39" t="s">
        <v>98</v>
      </c>
      <c r="P39" t="s">
        <v>99</v>
      </c>
      <c r="Q39" t="s">
        <v>100</v>
      </c>
      <c r="R39" t="s">
        <v>100</v>
      </c>
      <c r="S39" t="s">
        <v>101</v>
      </c>
      <c r="U39" t="s">
        <v>341</v>
      </c>
    </row>
    <row r="40" spans="1:21" x14ac:dyDescent="0.2">
      <c r="A40" s="4">
        <f>Header!B41</f>
        <v>6762</v>
      </c>
      <c r="B40" s="4">
        <f>Header!C41</f>
        <v>2</v>
      </c>
      <c r="C40" t="s">
        <v>335</v>
      </c>
      <c r="D40" t="s">
        <v>336</v>
      </c>
      <c r="E40" t="s">
        <v>337</v>
      </c>
      <c r="F40" t="s">
        <v>27</v>
      </c>
      <c r="G40">
        <v>-30</v>
      </c>
      <c r="H40">
        <v>100</v>
      </c>
      <c r="I40" t="s">
        <v>28</v>
      </c>
      <c r="J40">
        <v>-30</v>
      </c>
      <c r="K40">
        <v>270</v>
      </c>
      <c r="L40" t="s">
        <v>95</v>
      </c>
      <c r="M40" t="s">
        <v>96</v>
      </c>
      <c r="N40" t="s">
        <v>97</v>
      </c>
      <c r="O40" t="s">
        <v>98</v>
      </c>
      <c r="P40" t="s">
        <v>99</v>
      </c>
      <c r="Q40" t="s">
        <v>100</v>
      </c>
      <c r="R40" t="s">
        <v>100</v>
      </c>
      <c r="S40" t="s">
        <v>101</v>
      </c>
      <c r="U40" t="s">
        <v>341</v>
      </c>
    </row>
    <row r="41" spans="1:21" x14ac:dyDescent="0.2">
      <c r="A41" s="4">
        <f>Header!B42</f>
        <v>6761</v>
      </c>
      <c r="B41" s="4">
        <f>Header!C42</f>
        <v>1</v>
      </c>
      <c r="C41" t="s">
        <v>335</v>
      </c>
      <c r="D41" t="s">
        <v>336</v>
      </c>
      <c r="E41" t="s">
        <v>337</v>
      </c>
      <c r="F41" t="s">
        <v>27</v>
      </c>
      <c r="G41">
        <v>-30</v>
      </c>
      <c r="H41">
        <v>100</v>
      </c>
      <c r="I41" t="s">
        <v>28</v>
      </c>
      <c r="J41">
        <v>-30</v>
      </c>
      <c r="K41">
        <v>270</v>
      </c>
      <c r="L41" t="s">
        <v>95</v>
      </c>
      <c r="M41" t="s">
        <v>96</v>
      </c>
      <c r="N41" t="s">
        <v>97</v>
      </c>
      <c r="O41" t="s">
        <v>98</v>
      </c>
      <c r="P41" t="s">
        <v>99</v>
      </c>
      <c r="Q41" t="s">
        <v>100</v>
      </c>
      <c r="R41" t="s">
        <v>100</v>
      </c>
      <c r="S41" t="s">
        <v>101</v>
      </c>
      <c r="U41" t="s">
        <v>341</v>
      </c>
    </row>
    <row r="42" spans="1:21" x14ac:dyDescent="0.2">
      <c r="A42" s="4">
        <f>Header!B43</f>
        <v>6761</v>
      </c>
      <c r="B42" s="4">
        <f>Header!C43</f>
        <v>2</v>
      </c>
      <c r="C42" t="s">
        <v>335</v>
      </c>
      <c r="D42" t="s">
        <v>336</v>
      </c>
      <c r="E42" t="s">
        <v>337</v>
      </c>
      <c r="F42" t="s">
        <v>27</v>
      </c>
      <c r="G42">
        <v>-30</v>
      </c>
      <c r="H42">
        <v>100</v>
      </c>
      <c r="I42" t="s">
        <v>28</v>
      </c>
      <c r="J42">
        <v>-30</v>
      </c>
      <c r="K42">
        <v>270</v>
      </c>
      <c r="L42" t="s">
        <v>95</v>
      </c>
      <c r="M42" t="s">
        <v>96</v>
      </c>
      <c r="N42" t="s">
        <v>97</v>
      </c>
      <c r="O42" t="s">
        <v>98</v>
      </c>
      <c r="P42" t="s">
        <v>99</v>
      </c>
      <c r="Q42" t="s">
        <v>100</v>
      </c>
      <c r="R42" t="s">
        <v>100</v>
      </c>
      <c r="S42" t="s">
        <v>101</v>
      </c>
      <c r="U42" t="s">
        <v>341</v>
      </c>
    </row>
    <row r="43" spans="1:21" x14ac:dyDescent="0.2">
      <c r="A43" s="4">
        <f>Header!B44</f>
        <v>6765</v>
      </c>
      <c r="B43" s="4">
        <f>Header!C44</f>
        <v>2</v>
      </c>
      <c r="C43" t="s">
        <v>335</v>
      </c>
      <c r="D43" t="s">
        <v>336</v>
      </c>
      <c r="E43" t="s">
        <v>337</v>
      </c>
      <c r="F43" t="s">
        <v>27</v>
      </c>
      <c r="G43">
        <v>-30</v>
      </c>
      <c r="H43">
        <v>100</v>
      </c>
      <c r="I43" t="s">
        <v>28</v>
      </c>
      <c r="J43">
        <v>-30</v>
      </c>
      <c r="K43">
        <v>270</v>
      </c>
      <c r="L43" t="s">
        <v>95</v>
      </c>
      <c r="M43" t="s">
        <v>96</v>
      </c>
      <c r="N43" t="s">
        <v>97</v>
      </c>
      <c r="O43" t="s">
        <v>98</v>
      </c>
      <c r="P43" t="s">
        <v>99</v>
      </c>
      <c r="Q43" t="s">
        <v>100</v>
      </c>
      <c r="R43" t="s">
        <v>100</v>
      </c>
      <c r="S43" t="s">
        <v>101</v>
      </c>
      <c r="U43" t="s">
        <v>341</v>
      </c>
    </row>
    <row r="44" spans="1:21" x14ac:dyDescent="0.2">
      <c r="A44" s="4">
        <f>Header!B45</f>
        <v>6765</v>
      </c>
      <c r="B44" s="4">
        <f>Header!C45</f>
        <v>1</v>
      </c>
      <c r="C44" t="s">
        <v>335</v>
      </c>
      <c r="D44" t="s">
        <v>336</v>
      </c>
      <c r="E44" t="s">
        <v>337</v>
      </c>
      <c r="F44" t="s">
        <v>27</v>
      </c>
      <c r="G44">
        <v>-30</v>
      </c>
      <c r="H44">
        <v>100</v>
      </c>
      <c r="I44" t="s">
        <v>28</v>
      </c>
      <c r="J44">
        <v>-30</v>
      </c>
      <c r="K44">
        <v>270</v>
      </c>
      <c r="L44" t="s">
        <v>95</v>
      </c>
      <c r="M44" t="s">
        <v>96</v>
      </c>
      <c r="N44" t="s">
        <v>97</v>
      </c>
      <c r="O44" t="s">
        <v>98</v>
      </c>
      <c r="P44" t="s">
        <v>99</v>
      </c>
      <c r="Q44" t="s">
        <v>100</v>
      </c>
      <c r="R44" t="s">
        <v>100</v>
      </c>
      <c r="S44" t="s">
        <v>101</v>
      </c>
      <c r="U44" t="s">
        <v>341</v>
      </c>
    </row>
    <row r="45" spans="1:21" x14ac:dyDescent="0.2">
      <c r="A45" s="4">
        <f>Header!B46</f>
        <v>6773</v>
      </c>
      <c r="B45" s="4">
        <f>Header!C46</f>
        <v>1</v>
      </c>
      <c r="C45" t="s">
        <v>335</v>
      </c>
      <c r="D45" t="s">
        <v>336</v>
      </c>
      <c r="E45" t="s">
        <v>337</v>
      </c>
      <c r="F45" t="s">
        <v>90</v>
      </c>
      <c r="G45">
        <v>-30</v>
      </c>
      <c r="H45">
        <v>100</v>
      </c>
      <c r="I45" t="s">
        <v>28</v>
      </c>
      <c r="J45">
        <v>-30</v>
      </c>
      <c r="K45">
        <v>270</v>
      </c>
      <c r="L45" t="s">
        <v>95</v>
      </c>
      <c r="M45" t="s">
        <v>96</v>
      </c>
      <c r="N45" t="s">
        <v>97</v>
      </c>
      <c r="O45" t="s">
        <v>98</v>
      </c>
      <c r="P45" t="s">
        <v>99</v>
      </c>
      <c r="Q45" t="s">
        <v>100</v>
      </c>
      <c r="R45" t="s">
        <v>100</v>
      </c>
      <c r="S45" t="s">
        <v>101</v>
      </c>
      <c r="U45" t="s">
        <v>341</v>
      </c>
    </row>
    <row r="46" spans="1:21" x14ac:dyDescent="0.2">
      <c r="A46" s="4">
        <f>Header!B47</f>
        <v>6773</v>
      </c>
      <c r="B46" s="4">
        <f>Header!C47</f>
        <v>2</v>
      </c>
      <c r="C46" t="s">
        <v>335</v>
      </c>
      <c r="D46" t="s">
        <v>336</v>
      </c>
      <c r="E46" t="s">
        <v>338</v>
      </c>
      <c r="F46" t="s">
        <v>27</v>
      </c>
      <c r="G46">
        <v>-30</v>
      </c>
      <c r="H46">
        <v>100</v>
      </c>
      <c r="I46" t="s">
        <v>28</v>
      </c>
      <c r="J46">
        <v>-30</v>
      </c>
      <c r="K46">
        <v>270</v>
      </c>
      <c r="L46" t="s">
        <v>95</v>
      </c>
      <c r="M46" t="s">
        <v>96</v>
      </c>
      <c r="N46" t="s">
        <v>97</v>
      </c>
      <c r="O46" t="s">
        <v>98</v>
      </c>
      <c r="P46" t="s">
        <v>99</v>
      </c>
      <c r="Q46" t="s">
        <v>100</v>
      </c>
      <c r="R46" t="s">
        <v>100</v>
      </c>
      <c r="S46" t="s">
        <v>101</v>
      </c>
      <c r="U46" t="s">
        <v>341</v>
      </c>
    </row>
    <row r="47" spans="1:21" x14ac:dyDescent="0.2">
      <c r="A47" s="4">
        <f>Header!B48</f>
        <v>6770</v>
      </c>
      <c r="B47" s="4">
        <f>Header!C48</f>
        <v>1</v>
      </c>
      <c r="C47" t="s">
        <v>335</v>
      </c>
      <c r="D47" t="s">
        <v>336</v>
      </c>
      <c r="E47" t="s">
        <v>338</v>
      </c>
      <c r="F47" t="s">
        <v>27</v>
      </c>
      <c r="G47">
        <v>-30</v>
      </c>
      <c r="H47">
        <v>100</v>
      </c>
      <c r="I47" t="s">
        <v>28</v>
      </c>
      <c r="J47">
        <v>-30</v>
      </c>
      <c r="K47">
        <v>270</v>
      </c>
      <c r="L47" t="s">
        <v>95</v>
      </c>
      <c r="M47" t="s">
        <v>96</v>
      </c>
      <c r="N47" t="s">
        <v>97</v>
      </c>
      <c r="O47" t="s">
        <v>98</v>
      </c>
      <c r="P47" t="s">
        <v>99</v>
      </c>
      <c r="Q47" t="s">
        <v>100</v>
      </c>
      <c r="R47" t="s">
        <v>100</v>
      </c>
      <c r="S47" t="s">
        <v>101</v>
      </c>
      <c r="U47" t="s">
        <v>341</v>
      </c>
    </row>
    <row r="48" spans="1:21" x14ac:dyDescent="0.2">
      <c r="A48" s="4">
        <f>Header!B49</f>
        <v>6770</v>
      </c>
      <c r="B48" s="4">
        <f>Header!C49</f>
        <v>2</v>
      </c>
      <c r="C48" t="s">
        <v>335</v>
      </c>
      <c r="D48" t="s">
        <v>336</v>
      </c>
      <c r="E48" t="s">
        <v>338</v>
      </c>
      <c r="F48" t="s">
        <v>27</v>
      </c>
      <c r="G48">
        <v>-30</v>
      </c>
      <c r="H48">
        <v>100</v>
      </c>
      <c r="I48" t="s">
        <v>28</v>
      </c>
      <c r="J48">
        <v>-30</v>
      </c>
      <c r="K48">
        <v>270</v>
      </c>
      <c r="L48" t="s">
        <v>95</v>
      </c>
      <c r="M48" t="s">
        <v>96</v>
      </c>
      <c r="N48" t="s">
        <v>97</v>
      </c>
      <c r="O48" t="s">
        <v>98</v>
      </c>
      <c r="P48" t="s">
        <v>99</v>
      </c>
      <c r="Q48" t="s">
        <v>100</v>
      </c>
      <c r="R48" t="s">
        <v>100</v>
      </c>
      <c r="S48" t="s">
        <v>101</v>
      </c>
      <c r="U48" t="s">
        <v>341</v>
      </c>
    </row>
    <row r="49" spans="1:2" x14ac:dyDescent="0.2">
      <c r="A49" s="4"/>
      <c r="B49" s="4"/>
    </row>
    <row r="50" spans="1:2" x14ac:dyDescent="0.2">
      <c r="A50" s="4"/>
      <c r="B50" s="4"/>
    </row>
    <row r="51" spans="1:2" x14ac:dyDescent="0.2">
      <c r="A51" s="4"/>
      <c r="B51" s="4"/>
    </row>
    <row r="52" spans="1:2" x14ac:dyDescent="0.2">
      <c r="A52" s="4"/>
      <c r="B52" s="4"/>
    </row>
    <row r="53" spans="1:2" x14ac:dyDescent="0.2">
      <c r="A53" s="4"/>
      <c r="B53" s="4"/>
    </row>
    <row r="54" spans="1:2" x14ac:dyDescent="0.2">
      <c r="A54" s="4"/>
      <c r="B54" s="4"/>
    </row>
    <row r="55" spans="1:2" x14ac:dyDescent="0.2">
      <c r="A55" s="4"/>
      <c r="B55" s="4"/>
    </row>
    <row r="56" spans="1:2" x14ac:dyDescent="0.2">
      <c r="A56" s="4"/>
      <c r="B56" s="4"/>
    </row>
    <row r="57" spans="1:2" x14ac:dyDescent="0.2">
      <c r="A57" s="4"/>
      <c r="B57" s="4"/>
    </row>
    <row r="58" spans="1:2" x14ac:dyDescent="0.2">
      <c r="A58" s="4"/>
      <c r="B58" s="4"/>
    </row>
    <row r="59" spans="1:2" x14ac:dyDescent="0.2">
      <c r="A59" s="4"/>
      <c r="B59" s="4"/>
    </row>
    <row r="60" spans="1:2" x14ac:dyDescent="0.2">
      <c r="A60" s="4"/>
      <c r="B60" s="4"/>
    </row>
    <row r="61" spans="1:2" x14ac:dyDescent="0.2">
      <c r="A61" s="4"/>
      <c r="B61" s="4"/>
    </row>
    <row r="62" spans="1:2" x14ac:dyDescent="0.2">
      <c r="A62" s="4"/>
      <c r="B62" s="4"/>
    </row>
    <row r="63" spans="1:2" x14ac:dyDescent="0.2">
      <c r="A63" s="4"/>
      <c r="B63" s="4"/>
    </row>
    <row r="64" spans="1:2" x14ac:dyDescent="0.2">
      <c r="A64" s="4"/>
      <c r="B64" s="4"/>
    </row>
    <row r="65" spans="1:2" x14ac:dyDescent="0.2">
      <c r="A65" s="4"/>
      <c r="B65" s="4"/>
    </row>
    <row r="66" spans="1:2" x14ac:dyDescent="0.2">
      <c r="A66" s="4"/>
      <c r="B66" s="4"/>
    </row>
    <row r="67" spans="1:2" x14ac:dyDescent="0.2">
      <c r="A67" s="4"/>
      <c r="B67" s="4"/>
    </row>
    <row r="68" spans="1:2" x14ac:dyDescent="0.2">
      <c r="A68" s="4"/>
      <c r="B68" s="4"/>
    </row>
    <row r="69" spans="1:2" x14ac:dyDescent="0.2">
      <c r="A69" s="4"/>
      <c r="B69" s="4"/>
    </row>
    <row r="70" spans="1:2" x14ac:dyDescent="0.2">
      <c r="A70" s="4"/>
      <c r="B70" s="4"/>
    </row>
    <row r="71" spans="1:2" x14ac:dyDescent="0.2">
      <c r="A71" s="4"/>
      <c r="B71" s="4"/>
    </row>
    <row r="72" spans="1:2" x14ac:dyDescent="0.2">
      <c r="A72" s="4"/>
      <c r="B72" s="4"/>
    </row>
    <row r="73" spans="1:2" x14ac:dyDescent="0.2">
      <c r="A73" s="4"/>
      <c r="B73" s="4"/>
    </row>
    <row r="74" spans="1:2" x14ac:dyDescent="0.2">
      <c r="A74" s="4"/>
      <c r="B74" s="4"/>
    </row>
  </sheetData>
  <phoneticPr fontId="1"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2" workbookViewId="0">
      <selection activeCell="P10" sqref="P10"/>
    </sheetView>
  </sheetViews>
  <sheetFormatPr defaultRowHeight="12.7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Header</vt:lpstr>
      <vt:lpstr>Data_Collection</vt:lpstr>
      <vt:lpstr>Schedule</vt:lpstr>
      <vt:lpstr>Rquipment</vt:lpstr>
      <vt:lpstr>Notes</vt:lpstr>
    </vt:vector>
  </TitlesOfParts>
  <Company>State of Alaska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homtech</dc:creator>
  <cp:lastModifiedBy>Stahl, Jennifer P (DFG)</cp:lastModifiedBy>
  <dcterms:created xsi:type="dcterms:W3CDTF">2010-05-21T16:52:42Z</dcterms:created>
  <dcterms:modified xsi:type="dcterms:W3CDTF">2016-07-27T16:59:16Z</dcterms:modified>
</cp:coreProperties>
</file>