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G:\Nav_Data_Collection_TDR\"/>
    </mc:Choice>
  </mc:AlternateContent>
  <xr:revisionPtr revIDLastSave="0" documentId="13_ncr:1_{A7C1FB75-5DB4-4DDF-A69A-F4940EABAAD9}" xr6:coauthVersionLast="47" xr6:coauthVersionMax="47" xr10:uidLastSave="{00000000-0000-0000-0000-000000000000}"/>
  <bookViews>
    <workbookView xWindow="-120" yWindow="-120" windowWidth="25440" windowHeight="15390" activeTab="2" xr2:uid="{00000000-000D-0000-FFFF-FFFF00000000}"/>
  </bookViews>
  <sheets>
    <sheet name="Header" sheetId="1" r:id="rId1"/>
    <sheet name="Schedule" sheetId="4" r:id="rId2"/>
    <sheet name="Data_Collection" sheetId="2" r:id="rId3"/>
    <sheet name="Equipment" sheetId="5" r:id="rId4"/>
  </sheets>
  <definedNames>
    <definedName name="_xlnm._FilterDatabase" localSheetId="2" hidden="1">Data_Collection!$A$1:$F$429</definedName>
    <definedName name="_xlnm._FilterDatabase" localSheetId="0" hidden="1">Header!$A$1:$M$19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8" i="1" l="1"/>
  <c r="M3" i="1"/>
  <c r="M4" i="1"/>
  <c r="M5" i="1"/>
  <c r="M6" i="1"/>
  <c r="M7" i="1"/>
  <c r="M8" i="1"/>
  <c r="M9" i="1"/>
  <c r="M10" i="1"/>
  <c r="M11" i="1"/>
  <c r="M12" i="1"/>
  <c r="M13" i="1"/>
  <c r="M14" i="1"/>
  <c r="M15" i="1"/>
  <c r="M16" i="1"/>
  <c r="M17" i="1"/>
  <c r="M19" i="1"/>
  <c r="M20" i="1"/>
  <c r="M21" i="1"/>
  <c r="M22" i="1"/>
  <c r="M23" i="1"/>
  <c r="M24" i="1"/>
  <c r="M25" i="1"/>
  <c r="M2" i="1"/>
  <c r="F4" i="4"/>
  <c r="F5" i="4" s="1"/>
  <c r="F6" i="4" s="1"/>
  <c r="F7" i="4" s="1"/>
  <c r="F8" i="4" s="1"/>
  <c r="F9" i="4" s="1"/>
  <c r="F10" i="4" s="1"/>
  <c r="F11" i="4" s="1"/>
  <c r="F12" i="4" s="1"/>
  <c r="F13" i="4" s="1"/>
  <c r="F14" i="4" s="1"/>
  <c r="F15" i="4" s="1"/>
  <c r="F16" i="4" s="1"/>
  <c r="F17" i="4" s="1"/>
  <c r="F18" i="4" s="1"/>
  <c r="F19" i="4" s="1"/>
  <c r="D4" i="4"/>
  <c r="D5" i="4" s="1"/>
  <c r="D6" i="4" s="1"/>
  <c r="D7" i="4" s="1"/>
  <c r="D8" i="4" s="1"/>
  <c r="D9" i="4" s="1"/>
  <c r="D10" i="4" s="1"/>
  <c r="D11" i="4" s="1"/>
  <c r="D12" i="4" s="1"/>
  <c r="D13" i="4" s="1"/>
  <c r="D14" i="4" s="1"/>
  <c r="D15" i="4" s="1"/>
  <c r="D16" i="4" s="1"/>
  <c r="D17" i="4" s="1"/>
  <c r="D18" i="4" s="1"/>
  <c r="D19"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adfgfieldadmin</author>
    <author>Byerly, Mike M (DFG)</author>
  </authors>
  <commentList>
    <comment ref="C1" authorId="0" shapeId="0" xr:uid="{00000000-0006-0000-0000-000001000000}">
      <text>
        <r>
          <rPr>
            <b/>
            <sz val="9"/>
            <color indexed="81"/>
            <rFont val="Tahoma"/>
            <family val="2"/>
          </rPr>
          <t>adfgfieldadmin:</t>
        </r>
        <r>
          <rPr>
            <sz val="9"/>
            <color indexed="81"/>
            <rFont val="Tahoma"/>
            <family val="2"/>
          </rPr>
          <t xml:space="preserve">
Hypack plan lilne selected (e.g. 3_0, 3_45, 3_90, 3_135)</t>
        </r>
      </text>
    </comment>
    <comment ref="D1" authorId="1" shapeId="0" xr:uid="{00000000-0006-0000-0000-000002000000}">
      <text>
        <r>
          <rPr>
            <b/>
            <sz val="9"/>
            <color indexed="81"/>
            <rFont val="Tahoma"/>
            <family val="2"/>
          </rPr>
          <t>Byerly, Mike M (DFG):</t>
        </r>
        <r>
          <rPr>
            <sz val="9"/>
            <color indexed="81"/>
            <rFont val="Tahoma"/>
            <family val="2"/>
          </rPr>
          <t xml:space="preserve">
Direction the transect was run (N,NE,E,SE,etc)</t>
        </r>
      </text>
    </comment>
    <comment ref="E1" authorId="1" shapeId="0" xr:uid="{00000000-0006-0000-0000-000003000000}">
      <text>
        <r>
          <rPr>
            <b/>
            <sz val="9"/>
            <color indexed="81"/>
            <rFont val="Tahoma"/>
            <family val="2"/>
          </rPr>
          <t>Byerly, Mike M (DFG):</t>
        </r>
        <r>
          <rPr>
            <sz val="9"/>
            <color indexed="81"/>
            <rFont val="Tahoma"/>
            <family val="2"/>
          </rPr>
          <t xml:space="preserve">
(Test, Standard, Alternative)</t>
        </r>
      </text>
    </comment>
    <comment ref="F1" authorId="1" shapeId="0" xr:uid="{00000000-0006-0000-0000-000004000000}">
      <text>
        <r>
          <rPr>
            <b/>
            <sz val="9"/>
            <color indexed="81"/>
            <rFont val="Tahoma"/>
            <family val="2"/>
          </rPr>
          <t>Byerly, Mike M (DFG):</t>
        </r>
        <r>
          <rPr>
            <sz val="9"/>
            <color indexed="81"/>
            <rFont val="Tahoma"/>
            <family val="2"/>
          </rPr>
          <t xml:space="preserve">
(Yes/No/Partial)</t>
        </r>
      </text>
    </comment>
    <comment ref="G1" authorId="1" shapeId="0" xr:uid="{00000000-0006-0000-0000-000005000000}">
      <text>
        <r>
          <rPr>
            <b/>
            <sz val="9"/>
            <color indexed="81"/>
            <rFont val="Tahoma"/>
            <family val="2"/>
          </rPr>
          <t>Byerly, Mike M (DFG):</t>
        </r>
        <r>
          <rPr>
            <sz val="9"/>
            <color indexed="81"/>
            <rFont val="Tahoma"/>
            <family val="2"/>
          </rPr>
          <t xml:space="preserve">
 (N,NE,etc)</t>
        </r>
      </text>
    </comment>
    <comment ref="H1" authorId="1" shapeId="0" xr:uid="{00000000-0006-0000-0000-000006000000}">
      <text>
        <r>
          <rPr>
            <b/>
            <sz val="9"/>
            <color indexed="81"/>
            <rFont val="Tahoma"/>
            <family val="2"/>
          </rPr>
          <t>Byerly, Mike M (DFG):</t>
        </r>
        <r>
          <rPr>
            <sz val="9"/>
            <color indexed="81"/>
            <rFont val="Tahoma"/>
            <family val="2"/>
          </rPr>
          <t xml:space="preserve">
~ speed in knots</t>
        </r>
      </text>
    </comment>
    <comment ref="I1" authorId="1" shapeId="0" xr:uid="{00000000-0006-0000-0000-000007000000}">
      <text>
        <r>
          <rPr>
            <b/>
            <sz val="9"/>
            <color indexed="81"/>
            <rFont val="Tahoma"/>
            <family val="2"/>
          </rPr>
          <t>Byerly, Mike M (DFG):</t>
        </r>
        <r>
          <rPr>
            <sz val="9"/>
            <color indexed="81"/>
            <rFont val="Tahoma"/>
            <family val="2"/>
          </rPr>
          <t xml:space="preserve">
(Y/N)</t>
        </r>
      </text>
    </comment>
    <comment ref="J1" authorId="1" shapeId="0" xr:uid="{00000000-0006-0000-0000-000008000000}">
      <text>
        <r>
          <rPr>
            <b/>
            <sz val="9"/>
            <color indexed="81"/>
            <rFont val="Tahoma"/>
            <family val="2"/>
          </rPr>
          <t>Byerly, Mike M (DFG):</t>
        </r>
        <r>
          <rPr>
            <sz val="9"/>
            <color indexed="81"/>
            <rFont val="Tahoma"/>
            <family val="2"/>
          </rPr>
          <t xml:space="preserve">
Calibration file used</t>
        </r>
      </text>
    </comment>
    <comment ref="M1" authorId="1" shapeId="0" xr:uid="{00000000-0006-0000-0000-000009000000}">
      <text>
        <r>
          <rPr>
            <b/>
            <sz val="9"/>
            <color indexed="81"/>
            <rFont val="Tahoma"/>
            <family val="2"/>
          </rPr>
          <t>Byerly, Mike M (DFG):</t>
        </r>
        <r>
          <rPr>
            <sz val="9"/>
            <color indexed="81"/>
            <rFont val="Tahoma"/>
            <family val="2"/>
          </rPr>
          <t xml:space="preserve">
StreamPix file name
(CamX_YYYY_DIST_Dive_##_hh-mm-ss.sss.seq</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Byerly, Mike M (DFG)</author>
  </authors>
  <commentList>
    <comment ref="C1" authorId="0" shapeId="0" xr:uid="{00000000-0006-0000-0200-000001000000}">
      <text>
        <r>
          <rPr>
            <b/>
            <sz val="9"/>
            <color indexed="81"/>
            <rFont val="Tahoma"/>
            <family val="2"/>
          </rPr>
          <t>Byerly, Mike M (DFG):</t>
        </r>
        <r>
          <rPr>
            <sz val="9"/>
            <color indexed="81"/>
            <rFont val="Tahoma"/>
            <family val="2"/>
          </rPr>
          <t xml:space="preserve">
Note:
If using TimeStamp() macro:
AKDT
use ctrl+m keyboard shortcut.
Confirm that the Hypack computer time is the same as this PC's computer time. 
If using Horita GPS3:
UTC
Push TC button (upper left) on TCW-50
NEMA must = GGA 4800,8,1,n (1hz)
Needs video signal (DOE)
Read light on GPS3 should be flashing 1s
Toggle SETUP on select switch if time code is not generating
Compare time (min and sec) to time in hypack to make sure time is being recorded correctly
</t>
        </r>
      </text>
    </comment>
    <comment ref="D1" authorId="0" shapeId="0" xr:uid="{00000000-0006-0000-0200-000002000000}">
      <text>
        <r>
          <rPr>
            <b/>
            <sz val="9"/>
            <color indexed="81"/>
            <rFont val="Tahoma"/>
            <family val="2"/>
          </rPr>
          <t>Byerly, Mike M (DFG):</t>
        </r>
        <r>
          <rPr>
            <sz val="9"/>
            <color indexed="81"/>
            <rFont val="Tahoma"/>
            <family val="2"/>
          </rPr>
          <t xml:space="preserve">
(Start/End/Stop/Resume)
Start or End on headshake. Stop or Resume on headshake.</t>
        </r>
      </text>
    </comment>
  </commentList>
</comments>
</file>

<file path=xl/sharedStrings.xml><?xml version="1.0" encoding="utf-8"?>
<sst xmlns="http://schemas.openxmlformats.org/spreadsheetml/2006/main" count="1172" uniqueCount="178">
  <si>
    <t>Date</t>
  </si>
  <si>
    <t>Type</t>
  </si>
  <si>
    <t>Completed</t>
  </si>
  <si>
    <t>Current_Dir</t>
  </si>
  <si>
    <t>Current_Vel</t>
  </si>
  <si>
    <t>TDR</t>
  </si>
  <si>
    <t>Comments</t>
  </si>
  <si>
    <t>Day</t>
  </si>
  <si>
    <t>Transects</t>
  </si>
  <si>
    <t>Cumulative</t>
  </si>
  <si>
    <t>Notes</t>
  </si>
  <si>
    <t>USBL</t>
  </si>
  <si>
    <t>GPS</t>
  </si>
  <si>
    <t>Plan</t>
  </si>
  <si>
    <t>Start_End</t>
  </si>
  <si>
    <t>Dive</t>
  </si>
  <si>
    <t>HP_line</t>
  </si>
  <si>
    <t>Dive_Id</t>
  </si>
  <si>
    <t>Tracklink 1500MA</t>
  </si>
  <si>
    <t>Kongsburg MRUD</t>
  </si>
  <si>
    <t>Crossbow CXTA01</t>
  </si>
  <si>
    <t>none</t>
  </si>
  <si>
    <t>FileName</t>
  </si>
  <si>
    <t>SL_cam</t>
  </si>
  <si>
    <t>SR_cam</t>
  </si>
  <si>
    <t>Insite Aurora</t>
  </si>
  <si>
    <t>Lights</t>
  </si>
  <si>
    <t>Cameras</t>
  </si>
  <si>
    <t>External Top</t>
  </si>
  <si>
    <t>External side</t>
  </si>
  <si>
    <t>External Side</t>
  </si>
  <si>
    <t>Crash frame side</t>
  </si>
  <si>
    <t>Chash frame Halogen</t>
  </si>
  <si>
    <t>DOE</t>
  </si>
  <si>
    <t>FWD</t>
  </si>
  <si>
    <t>BEL</t>
  </si>
  <si>
    <t>Stereo</t>
  </si>
  <si>
    <t>Vessel</t>
  </si>
  <si>
    <t>ROV</t>
  </si>
  <si>
    <t>Deg up</t>
  </si>
  <si>
    <t>deg out</t>
  </si>
  <si>
    <t>Level</t>
  </si>
  <si>
    <t>Deg down</t>
  </si>
  <si>
    <t>laser width</t>
  </si>
  <si>
    <t>Deployment</t>
  </si>
  <si>
    <t>Pitch_Roll</t>
  </si>
  <si>
    <t>Headiing</t>
  </si>
  <si>
    <t>Pitch</t>
  </si>
  <si>
    <t>Roll</t>
  </si>
  <si>
    <t>Altimeter</t>
  </si>
  <si>
    <t>DOE_cam</t>
  </si>
  <si>
    <t>FWD_Cam</t>
  </si>
  <si>
    <t>BEL_Cam</t>
  </si>
  <si>
    <t>Rear spoiler</t>
  </si>
  <si>
    <t>LED</t>
  </si>
  <si>
    <t>high</t>
  </si>
  <si>
    <t>Halogen</t>
  </si>
  <si>
    <t>Short proboscis</t>
  </si>
  <si>
    <t>Belly</t>
  </si>
  <si>
    <t>DOE_Sony</t>
  </si>
  <si>
    <t>Insite Mercury</t>
  </si>
  <si>
    <t>Friday</t>
  </si>
  <si>
    <t>Equipment</t>
  </si>
  <si>
    <t>Tritech PA500</t>
  </si>
  <si>
    <t>Novtatel AG_Star</t>
  </si>
  <si>
    <t>Sunday</t>
  </si>
  <si>
    <t>02:38:17:24</t>
  </si>
  <si>
    <t>Tuesday</t>
  </si>
  <si>
    <t>Wednesday</t>
  </si>
  <si>
    <t>Thursday</t>
  </si>
  <si>
    <t>AVT GT1660</t>
  </si>
  <si>
    <t>Umbilicle</t>
  </si>
  <si>
    <t>Stereo_Cal</t>
  </si>
  <si>
    <t>Solstice</t>
  </si>
  <si>
    <t>med</t>
  </si>
  <si>
    <t>Furuno SC-70</t>
  </si>
  <si>
    <t>Saturday</t>
  </si>
  <si>
    <t>na</t>
  </si>
  <si>
    <t>Monday</t>
  </si>
  <si>
    <t>Height</t>
  </si>
  <si>
    <t>YE count</t>
  </si>
  <si>
    <t>Start</t>
  </si>
  <si>
    <t>RBR Duet3</t>
  </si>
  <si>
    <t>Standard</t>
  </si>
  <si>
    <t>2023_EYKT_Dive_01</t>
  </si>
  <si>
    <t>Pool calibration in Homer</t>
  </si>
  <si>
    <t>Mob</t>
  </si>
  <si>
    <t>Depart Cordova @ 18:00</t>
  </si>
  <si>
    <t>Transit</t>
  </si>
  <si>
    <t>Arv Lituya Bay @ 11:00. Wx building later to gale.</t>
  </si>
  <si>
    <t>Wx day</t>
  </si>
  <si>
    <t>Arv Cordova 21:30 via AMHS</t>
  </si>
  <si>
    <t>TC (AKDT)</t>
  </si>
  <si>
    <t>Water_Cal_GigE_07_28_2023</t>
  </si>
  <si>
    <t>Direction_run</t>
  </si>
  <si>
    <t>Not recording OSD data (ROV heading, pitch, roll, altimeter, depth) in Shared Memory. GenParse driver in hardware not playing well with Trackpoint drivers</t>
  </si>
  <si>
    <t>Y</t>
  </si>
  <si>
    <t>2_0</t>
  </si>
  <si>
    <t>N</t>
  </si>
  <si>
    <t>SSE</t>
  </si>
  <si>
    <t>End</t>
  </si>
  <si>
    <t>2023_EYKT_Dive_02</t>
  </si>
  <si>
    <t>Yes</t>
  </si>
  <si>
    <t>halibut, no RF</t>
  </si>
  <si>
    <t>2023_EYKT_Dive_03</t>
  </si>
  <si>
    <t>11_45</t>
  </si>
  <si>
    <t>SW</t>
  </si>
  <si>
    <t>Lingcod</t>
  </si>
  <si>
    <t>NE</t>
  </si>
  <si>
    <t>2023_EYKT_Dive_04</t>
  </si>
  <si>
    <t>18_45</t>
  </si>
  <si>
    <t>YE</t>
  </si>
  <si>
    <t>2023_EYKT_Dive_05</t>
  </si>
  <si>
    <t>12_45</t>
  </si>
  <si>
    <t>2023_EYKT_Dive_06</t>
  </si>
  <si>
    <t>W</t>
  </si>
  <si>
    <t>2023_EYKT_Dive_07</t>
  </si>
  <si>
    <t>9_90</t>
  </si>
  <si>
    <t>E</t>
  </si>
  <si>
    <t>10_135</t>
  </si>
  <si>
    <t>2023_EYKT_Dive_08</t>
  </si>
  <si>
    <t>6_0</t>
  </si>
  <si>
    <t>SE</t>
  </si>
  <si>
    <t>2023_EYKT_Dive_09</t>
  </si>
  <si>
    <t>4_135</t>
  </si>
  <si>
    <t>2023_EYKT_Dive_10</t>
  </si>
  <si>
    <t>2023_EYKT_Dive_11</t>
  </si>
  <si>
    <t>2023_EYKT_Dive_9</t>
  </si>
  <si>
    <t>3_135</t>
  </si>
  <si>
    <t>NW</t>
  </si>
  <si>
    <t>Lots of lingcod on transect</t>
  </si>
  <si>
    <t>S</t>
  </si>
  <si>
    <t>2023_EYKT_Dive_12</t>
  </si>
  <si>
    <t>7_0</t>
  </si>
  <si>
    <t>8_90</t>
  </si>
  <si>
    <t>2023_EYKT_Dive_13</t>
  </si>
  <si>
    <t>NA</t>
  </si>
  <si>
    <t>15_45</t>
  </si>
  <si>
    <t>2023_EYKT_Dive_14</t>
  </si>
  <si>
    <t>13_45</t>
  </si>
  <si>
    <t>2023_EYKT_Dive_15</t>
  </si>
  <si>
    <t>14_45</t>
  </si>
  <si>
    <t>2023_EYKT_Dive_16</t>
  </si>
  <si>
    <t>22_45</t>
  </si>
  <si>
    <t>2023_EYKT_Dive_17</t>
  </si>
  <si>
    <t>adjust to NW line</t>
  </si>
  <si>
    <t>2023_EYKT_Dive_18</t>
  </si>
  <si>
    <t>20_0</t>
  </si>
  <si>
    <t>resume transect</t>
  </si>
  <si>
    <t>2023_EYKT_Dive_19</t>
  </si>
  <si>
    <t>24_0</t>
  </si>
  <si>
    <t>2023_EYKT_Dive_20</t>
  </si>
  <si>
    <t>28_0</t>
  </si>
  <si>
    <t>Back to the surface</t>
  </si>
  <si>
    <t>2023_EYKT_Dive_21</t>
  </si>
  <si>
    <t xml:space="preserve"> </t>
  </si>
  <si>
    <t>27_0</t>
  </si>
  <si>
    <t>2023_EYKT_Dive_22</t>
  </si>
  <si>
    <t>31_0</t>
  </si>
  <si>
    <t>2023_EYKT_Dive_23</t>
  </si>
  <si>
    <t>33_0</t>
  </si>
  <si>
    <t>2023_EYKT_Dive_24</t>
  </si>
  <si>
    <t>1_0</t>
  </si>
  <si>
    <t>23_90</t>
  </si>
  <si>
    <t>34_0</t>
  </si>
  <si>
    <t>Survey day. Drifted at night</t>
  </si>
  <si>
    <t>Survey day. Departed early for anchorage in Torch Bay due to building wx</t>
  </si>
  <si>
    <t>Departed Torch Cove and Arv Elfin Cove @ 11:00. Scheduled end of EYKT survey.</t>
  </si>
  <si>
    <t>Phil flew out and PU NOAA crew</t>
  </si>
  <si>
    <t>Depart 02:00 for Fairweather Ground. Survey day. Drifted at night</t>
  </si>
  <si>
    <t>Deg In</t>
  </si>
  <si>
    <t>reposition due to umbilical hang up on clump line, pause transect</t>
  </si>
  <si>
    <t>Stop</t>
  </si>
  <si>
    <t>Resume</t>
  </si>
  <si>
    <t>Partial</t>
  </si>
  <si>
    <t>Dives 16 and 17 recorded together on the same seq. SL and SR split up when exported to avi, but DOE, BEL, and FWD are not.</t>
  </si>
  <si>
    <t>Changed direction to 135 line at center of star due to current. SL and SR AVI split out from dive 16</t>
  </si>
  <si>
    <t>Aborted dive, ROV hard to control for unknown reason. Clump flagging a lot but not a lot of current. Dive still good, just short. Moved to next transect since survey time is running short.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</si>
</sst>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AM/PM"/>
  </numFmts>
  <fonts count="22" x14ac:knownFonts="1">
    <font>
      <sz val="10"/>
      <name val="Arial"/>
    </font>
    <font>
      <sz val="8"/>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color indexed="81"/>
      <name val="Tahoma"/>
      <family val="2"/>
    </font>
    <font>
      <b/>
      <sz val="9"/>
      <color indexed="81"/>
      <name val="Tahoma"/>
      <family val="2"/>
    </font>
  </fonts>
  <fills count="2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2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42">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3"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cellStyleXfs>
  <cellXfs count="37">
    <xf numFmtId="0" fontId="0" fillId="0" borderId="0" xfId="0"/>
    <xf numFmtId="1" fontId="0" fillId="0" borderId="0" xfId="0" applyNumberFormat="1"/>
    <xf numFmtId="0" fontId="0" fillId="0" borderId="10" xfId="0" applyBorder="1"/>
    <xf numFmtId="14" fontId="0" fillId="0" borderId="0" xfId="0" applyNumberFormat="1"/>
    <xf numFmtId="21" fontId="0" fillId="0" borderId="0" xfId="0" applyNumberFormat="1"/>
    <xf numFmtId="0" fontId="2" fillId="0" borderId="0" xfId="0" applyFont="1"/>
    <xf numFmtId="0" fontId="0" fillId="0" borderId="0" xfId="0"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4" xfId="0" applyBorder="1"/>
    <xf numFmtId="0" fontId="0" fillId="0" borderId="15" xfId="0" applyBorder="1"/>
    <xf numFmtId="21" fontId="2" fillId="0" borderId="0" xfId="0" applyNumberFormat="1" applyFont="1"/>
    <xf numFmtId="0" fontId="0" fillId="0" borderId="16" xfId="0" applyBorder="1" applyAlignment="1">
      <alignment horizontal="center"/>
    </xf>
    <xf numFmtId="0" fontId="0" fillId="0" borderId="17" xfId="0" applyBorder="1" applyAlignment="1">
      <alignment horizontal="center"/>
    </xf>
    <xf numFmtId="0" fontId="0" fillId="0" borderId="0" xfId="0" applyAlignment="1">
      <alignment horizontal="left"/>
    </xf>
    <xf numFmtId="0" fontId="2" fillId="0" borderId="15" xfId="0" applyFont="1" applyBorder="1"/>
    <xf numFmtId="49" fontId="0" fillId="0" borderId="0" xfId="0" applyNumberFormat="1"/>
    <xf numFmtId="49" fontId="2" fillId="0" borderId="0" xfId="0" applyNumberFormat="1" applyFont="1"/>
    <xf numFmtId="14" fontId="2" fillId="0" borderId="0" xfId="0" applyNumberFormat="1" applyFont="1"/>
    <xf numFmtId="0" fontId="2" fillId="0" borderId="0" xfId="0" applyFont="1" applyAlignment="1">
      <alignment horizontal="left"/>
    </xf>
    <xf numFmtId="164" fontId="2" fillId="0" borderId="0" xfId="0" applyNumberFormat="1" applyFont="1"/>
    <xf numFmtId="164" fontId="0" fillId="0" borderId="0" xfId="0" applyNumberFormat="1"/>
    <xf numFmtId="164" fontId="2" fillId="0" borderId="0" xfId="0" applyNumberFormat="1" applyFont="1" applyAlignment="1">
      <alignment horizontal="right"/>
    </xf>
    <xf numFmtId="1" fontId="0" fillId="0" borderId="10" xfId="0" applyNumberFormat="1" applyBorder="1" applyAlignment="1">
      <alignment horizontal="center"/>
    </xf>
    <xf numFmtId="0" fontId="0" fillId="0" borderId="13"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10"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2" fillId="0" borderId="0" xfId="0" applyFont="1" applyAlignment="1">
      <alignment horizontal="left" vertical="center"/>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6</xdr:col>
      <xdr:colOff>542925</xdr:colOff>
      <xdr:row>2</xdr:row>
      <xdr:rowOff>28575</xdr:rowOff>
    </xdr:from>
    <xdr:to>
      <xdr:col>10</xdr:col>
      <xdr:colOff>0</xdr:colOff>
      <xdr:row>11</xdr:row>
      <xdr:rowOff>19050</xdr:rowOff>
    </xdr:to>
    <xdr:sp macro="" textlink="">
      <xdr:nvSpPr>
        <xdr:cNvPr id="2" name="TextBox 1">
          <a:extLst>
            <a:ext uri="{FF2B5EF4-FFF2-40B4-BE49-F238E27FC236}">
              <a16:creationId xmlns:a16="http://schemas.microsoft.com/office/drawing/2014/main" id="{96C8AF72-00CF-B54F-C016-56A81E768549}"/>
            </a:ext>
          </a:extLst>
        </xdr:cNvPr>
        <xdr:cNvSpPr txBox="1"/>
      </xdr:nvSpPr>
      <xdr:spPr>
        <a:xfrm>
          <a:off x="7086600" y="352425"/>
          <a:ext cx="3381375"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Treat yelloweye observations with a grain of salt. </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6"/>
  <sheetViews>
    <sheetView workbookViewId="0">
      <pane ySplit="1" topLeftCell="A2" activePane="bottomLeft" state="frozen"/>
      <selection pane="bottomLeft" activeCell="L22" sqref="L22"/>
    </sheetView>
  </sheetViews>
  <sheetFormatPr defaultRowHeight="12.75" x14ac:dyDescent="0.2"/>
  <cols>
    <col min="1" max="1" width="9.85546875" style="3" customWidth="1"/>
    <col min="2" max="2" width="23.5703125" bestFit="1" customWidth="1"/>
    <col min="3" max="3" width="12.140625" customWidth="1"/>
    <col min="4" max="4" width="11.85546875" bestFit="1" customWidth="1"/>
    <col min="5" max="5" width="12.28515625" customWidth="1"/>
    <col min="6" max="6" width="9.85546875" bestFit="1" customWidth="1"/>
    <col min="7" max="7" width="10.28515625" bestFit="1" customWidth="1"/>
    <col min="8" max="8" width="11.140625" customWidth="1"/>
    <col min="9" max="9" width="10.28515625" customWidth="1"/>
    <col min="10" max="10" width="26.42578125" bestFit="1" customWidth="1"/>
    <col min="11" max="11" width="10.28515625" customWidth="1"/>
    <col min="12" max="12" width="27.7109375" customWidth="1"/>
    <col min="17" max="17" width="23.85546875" customWidth="1"/>
    <col min="19" max="19" width="9.140625" style="19"/>
  </cols>
  <sheetData>
    <row r="1" spans="1:19" x14ac:dyDescent="0.2">
      <c r="A1" s="3" t="s">
        <v>0</v>
      </c>
      <c r="B1" t="s">
        <v>15</v>
      </c>
      <c r="C1" t="s">
        <v>16</v>
      </c>
      <c r="D1" t="s">
        <v>94</v>
      </c>
      <c r="E1" t="s">
        <v>1</v>
      </c>
      <c r="F1" t="s">
        <v>2</v>
      </c>
      <c r="G1" t="s">
        <v>3</v>
      </c>
      <c r="H1" t="s">
        <v>4</v>
      </c>
      <c r="I1" t="s">
        <v>5</v>
      </c>
      <c r="J1" t="s">
        <v>72</v>
      </c>
      <c r="K1" t="s">
        <v>37</v>
      </c>
      <c r="L1" t="s">
        <v>6</v>
      </c>
      <c r="M1" t="s">
        <v>22</v>
      </c>
    </row>
    <row r="2" spans="1:19" x14ac:dyDescent="0.2">
      <c r="A2" s="3">
        <v>45156</v>
      </c>
      <c r="B2" s="5" t="s">
        <v>84</v>
      </c>
      <c r="C2" s="22" t="s">
        <v>97</v>
      </c>
      <c r="D2" t="s">
        <v>98</v>
      </c>
      <c r="E2" t="s">
        <v>83</v>
      </c>
      <c r="F2" t="s">
        <v>102</v>
      </c>
      <c r="G2" t="s">
        <v>99</v>
      </c>
      <c r="H2">
        <v>0.1</v>
      </c>
      <c r="I2" t="s">
        <v>96</v>
      </c>
      <c r="J2" s="5" t="s">
        <v>93</v>
      </c>
      <c r="K2" t="s">
        <v>73</v>
      </c>
      <c r="L2" s="5"/>
      <c r="M2" s="5" t="str">
        <f>CONCATENATE("CamX_",B2, "_hh-mm-ss.sss.seq")</f>
        <v>CamX_2023_EYKT_Dive_01_hh-mm-ss.sss.seq</v>
      </c>
    </row>
    <row r="3" spans="1:19" x14ac:dyDescent="0.2">
      <c r="A3" s="3">
        <v>45156</v>
      </c>
      <c r="B3" s="5" t="s">
        <v>101</v>
      </c>
      <c r="C3" s="17" t="s">
        <v>162</v>
      </c>
      <c r="D3" t="s">
        <v>98</v>
      </c>
      <c r="E3" t="s">
        <v>83</v>
      </c>
      <c r="F3" t="s">
        <v>102</v>
      </c>
      <c r="G3" t="s">
        <v>99</v>
      </c>
      <c r="H3">
        <v>0.1</v>
      </c>
      <c r="I3" t="s">
        <v>96</v>
      </c>
      <c r="J3" s="5" t="s">
        <v>93</v>
      </c>
      <c r="K3" t="s">
        <v>73</v>
      </c>
      <c r="M3" s="5" t="str">
        <f t="shared" ref="M3:M25" si="0">CONCATENATE("CamX_",B3, "_hh-mm-ss.sss.seq")</f>
        <v>CamX_2023_EYKT_Dive_02_hh-mm-ss.sss.seq</v>
      </c>
      <c r="S3" s="20"/>
    </row>
    <row r="4" spans="1:19" x14ac:dyDescent="0.2">
      <c r="A4" s="3">
        <v>45156</v>
      </c>
      <c r="B4" s="5" t="s">
        <v>104</v>
      </c>
      <c r="C4" s="17" t="s">
        <v>105</v>
      </c>
      <c r="D4" t="s">
        <v>106</v>
      </c>
      <c r="E4" t="s">
        <v>83</v>
      </c>
      <c r="F4" t="s">
        <v>102</v>
      </c>
      <c r="G4" t="s">
        <v>108</v>
      </c>
      <c r="H4">
        <v>0.1</v>
      </c>
      <c r="I4" t="s">
        <v>96</v>
      </c>
      <c r="J4" s="5" t="s">
        <v>93</v>
      </c>
      <c r="K4" t="s">
        <v>73</v>
      </c>
      <c r="L4" s="5"/>
      <c r="M4" s="5" t="str">
        <f t="shared" si="0"/>
        <v>CamX_2023_EYKT_Dive_03_hh-mm-ss.sss.seq</v>
      </c>
      <c r="S4" s="20"/>
    </row>
    <row r="5" spans="1:19" x14ac:dyDescent="0.2">
      <c r="A5" s="3">
        <v>45156</v>
      </c>
      <c r="B5" s="5" t="s">
        <v>109</v>
      </c>
      <c r="C5" s="17" t="s">
        <v>110</v>
      </c>
      <c r="D5" t="s">
        <v>106</v>
      </c>
      <c r="E5" t="s">
        <v>83</v>
      </c>
      <c r="F5" t="s">
        <v>102</v>
      </c>
      <c r="G5" t="s">
        <v>108</v>
      </c>
      <c r="H5">
        <v>0.1</v>
      </c>
      <c r="I5" t="s">
        <v>96</v>
      </c>
      <c r="J5" s="5" t="s">
        <v>93</v>
      </c>
      <c r="K5" t="s">
        <v>73</v>
      </c>
      <c r="M5" s="5" t="str">
        <f t="shared" si="0"/>
        <v>CamX_2023_EYKT_Dive_04_hh-mm-ss.sss.seq</v>
      </c>
      <c r="S5" s="20"/>
    </row>
    <row r="6" spans="1:19" x14ac:dyDescent="0.2">
      <c r="A6" s="3">
        <v>45156</v>
      </c>
      <c r="B6" s="5" t="s">
        <v>112</v>
      </c>
      <c r="C6" s="17" t="s">
        <v>113</v>
      </c>
      <c r="D6" t="s">
        <v>106</v>
      </c>
      <c r="E6" t="s">
        <v>83</v>
      </c>
      <c r="F6" t="s">
        <v>102</v>
      </c>
      <c r="G6" t="s">
        <v>108</v>
      </c>
      <c r="H6">
        <v>0.1</v>
      </c>
      <c r="I6" t="s">
        <v>96</v>
      </c>
      <c r="J6" s="5" t="s">
        <v>93</v>
      </c>
      <c r="K6" t="s">
        <v>73</v>
      </c>
      <c r="M6" s="5" t="str">
        <f t="shared" si="0"/>
        <v>CamX_2023_EYKT_Dive_05_hh-mm-ss.sss.seq</v>
      </c>
      <c r="S6" s="20"/>
    </row>
    <row r="7" spans="1:19" x14ac:dyDescent="0.2">
      <c r="A7" s="3">
        <v>45156</v>
      </c>
      <c r="B7" s="5" t="s">
        <v>114</v>
      </c>
      <c r="C7" s="17" t="s">
        <v>117</v>
      </c>
      <c r="D7" t="s">
        <v>115</v>
      </c>
      <c r="E7" t="s">
        <v>83</v>
      </c>
      <c r="F7" t="s">
        <v>102</v>
      </c>
      <c r="G7" t="s">
        <v>118</v>
      </c>
      <c r="H7">
        <v>0.1</v>
      </c>
      <c r="I7" t="s">
        <v>96</v>
      </c>
      <c r="J7" s="5" t="s">
        <v>93</v>
      </c>
      <c r="K7" t="s">
        <v>73</v>
      </c>
      <c r="M7" s="5" t="str">
        <f t="shared" si="0"/>
        <v>CamX_2023_EYKT_Dive_06_hh-mm-ss.sss.seq</v>
      </c>
      <c r="S7" s="20"/>
    </row>
    <row r="8" spans="1:19" x14ac:dyDescent="0.2">
      <c r="A8" s="3">
        <v>45156</v>
      </c>
      <c r="B8" s="5" t="s">
        <v>116</v>
      </c>
      <c r="C8" s="17" t="s">
        <v>119</v>
      </c>
      <c r="D8" t="s">
        <v>108</v>
      </c>
      <c r="E8" t="s">
        <v>83</v>
      </c>
      <c r="F8" t="s">
        <v>102</v>
      </c>
      <c r="G8" t="s">
        <v>106</v>
      </c>
      <c r="H8">
        <v>0.1</v>
      </c>
      <c r="I8" t="s">
        <v>96</v>
      </c>
      <c r="J8" s="5" t="s">
        <v>93</v>
      </c>
      <c r="K8" t="s">
        <v>73</v>
      </c>
      <c r="M8" s="5" t="str">
        <f t="shared" si="0"/>
        <v>CamX_2023_EYKT_Dive_07_hh-mm-ss.sss.seq</v>
      </c>
      <c r="S8" s="20"/>
    </row>
    <row r="9" spans="1:19" x14ac:dyDescent="0.2">
      <c r="A9" s="3">
        <v>45156</v>
      </c>
      <c r="B9" s="5" t="s">
        <v>120</v>
      </c>
      <c r="C9" s="17" t="s">
        <v>121</v>
      </c>
      <c r="D9" t="s">
        <v>98</v>
      </c>
      <c r="E9" t="s">
        <v>83</v>
      </c>
      <c r="F9" t="s">
        <v>102</v>
      </c>
      <c r="G9" t="s">
        <v>122</v>
      </c>
      <c r="H9">
        <v>0.1</v>
      </c>
      <c r="I9" t="s">
        <v>96</v>
      </c>
      <c r="J9" s="5" t="s">
        <v>93</v>
      </c>
      <c r="K9" t="s">
        <v>73</v>
      </c>
      <c r="M9" s="5" t="str">
        <f t="shared" si="0"/>
        <v>CamX_2023_EYKT_Dive_08_hh-mm-ss.sss.seq</v>
      </c>
      <c r="S9" s="20"/>
    </row>
    <row r="10" spans="1:19" x14ac:dyDescent="0.2">
      <c r="A10" s="3">
        <v>45157</v>
      </c>
      <c r="B10" s="5" t="s">
        <v>123</v>
      </c>
      <c r="C10" s="17" t="s">
        <v>124</v>
      </c>
      <c r="D10" t="s">
        <v>122</v>
      </c>
      <c r="E10" t="s">
        <v>83</v>
      </c>
      <c r="F10" t="s">
        <v>102</v>
      </c>
      <c r="G10" t="s">
        <v>98</v>
      </c>
      <c r="H10">
        <v>0.2</v>
      </c>
      <c r="I10" t="s">
        <v>96</v>
      </c>
      <c r="J10" s="5" t="s">
        <v>93</v>
      </c>
      <c r="K10" t="s">
        <v>73</v>
      </c>
      <c r="M10" s="5" t="str">
        <f t="shared" si="0"/>
        <v>CamX_2023_EYKT_Dive_09_hh-mm-ss.sss.seq</v>
      </c>
      <c r="S10" s="20"/>
    </row>
    <row r="11" spans="1:19" x14ac:dyDescent="0.2">
      <c r="A11" s="3">
        <v>45157</v>
      </c>
      <c r="B11" s="5" t="s">
        <v>125</v>
      </c>
      <c r="C11" s="17" t="s">
        <v>128</v>
      </c>
      <c r="D11" t="s">
        <v>122</v>
      </c>
      <c r="E11" t="s">
        <v>83</v>
      </c>
      <c r="F11" t="s">
        <v>102</v>
      </c>
      <c r="G11" t="s">
        <v>129</v>
      </c>
      <c r="H11">
        <v>0.1</v>
      </c>
      <c r="I11" t="s">
        <v>96</v>
      </c>
      <c r="J11" s="5" t="s">
        <v>93</v>
      </c>
      <c r="K11" t="s">
        <v>73</v>
      </c>
      <c r="M11" s="5" t="str">
        <f t="shared" si="0"/>
        <v>CamX_2023_EYKT_Dive_10_hh-mm-ss.sss.seq</v>
      </c>
      <c r="S11" s="20"/>
    </row>
    <row r="12" spans="1:19" x14ac:dyDescent="0.2">
      <c r="A12" s="3">
        <v>45157</v>
      </c>
      <c r="B12" s="5" t="s">
        <v>126</v>
      </c>
      <c r="C12" s="17" t="s">
        <v>133</v>
      </c>
      <c r="D12" t="s">
        <v>98</v>
      </c>
      <c r="E12" t="s">
        <v>83</v>
      </c>
      <c r="F12" t="s">
        <v>102</v>
      </c>
      <c r="G12" t="s">
        <v>131</v>
      </c>
      <c r="H12">
        <v>0.1</v>
      </c>
      <c r="I12" t="s">
        <v>96</v>
      </c>
      <c r="J12" s="5" t="s">
        <v>93</v>
      </c>
      <c r="K12" t="s">
        <v>73</v>
      </c>
      <c r="M12" s="5" t="str">
        <f t="shared" si="0"/>
        <v>CamX_2023_EYKT_Dive_11_hh-mm-ss.sss.seq</v>
      </c>
      <c r="S12" s="20"/>
    </row>
    <row r="13" spans="1:19" x14ac:dyDescent="0.2">
      <c r="A13" s="3">
        <v>45157</v>
      </c>
      <c r="B13" s="5" t="s">
        <v>132</v>
      </c>
      <c r="C13" s="17" t="s">
        <v>134</v>
      </c>
      <c r="D13" t="s">
        <v>115</v>
      </c>
      <c r="E13" t="s">
        <v>83</v>
      </c>
      <c r="F13" t="s">
        <v>102</v>
      </c>
      <c r="G13" t="s">
        <v>131</v>
      </c>
      <c r="H13">
        <v>0.1</v>
      </c>
      <c r="I13" t="s">
        <v>96</v>
      </c>
      <c r="J13" s="5" t="s">
        <v>93</v>
      </c>
      <c r="K13" t="s">
        <v>73</v>
      </c>
      <c r="L13" s="5"/>
      <c r="M13" s="5" t="str">
        <f t="shared" si="0"/>
        <v>CamX_2023_EYKT_Dive_12_hh-mm-ss.sss.seq</v>
      </c>
      <c r="S13" s="20"/>
    </row>
    <row r="14" spans="1:19" x14ac:dyDescent="0.2">
      <c r="A14" s="3">
        <v>45157</v>
      </c>
      <c r="B14" s="5" t="s">
        <v>135</v>
      </c>
      <c r="C14" s="17" t="s">
        <v>137</v>
      </c>
      <c r="D14" t="s">
        <v>106</v>
      </c>
      <c r="E14" t="s">
        <v>83</v>
      </c>
      <c r="F14" t="s">
        <v>102</v>
      </c>
      <c r="G14" t="s">
        <v>136</v>
      </c>
      <c r="H14">
        <v>0</v>
      </c>
      <c r="I14" t="s">
        <v>96</v>
      </c>
      <c r="J14" s="5" t="s">
        <v>93</v>
      </c>
      <c r="K14" t="s">
        <v>73</v>
      </c>
      <c r="M14" s="5" t="str">
        <f t="shared" si="0"/>
        <v>CamX_2023_EYKT_Dive_13_hh-mm-ss.sss.seq</v>
      </c>
      <c r="S14" s="20"/>
    </row>
    <row r="15" spans="1:19" x14ac:dyDescent="0.2">
      <c r="A15" s="3">
        <v>45157</v>
      </c>
      <c r="B15" s="5" t="s">
        <v>138</v>
      </c>
      <c r="C15" s="17" t="s">
        <v>139</v>
      </c>
      <c r="D15" t="s">
        <v>106</v>
      </c>
      <c r="E15" t="s">
        <v>83</v>
      </c>
      <c r="F15" t="s">
        <v>102</v>
      </c>
      <c r="G15" t="s">
        <v>136</v>
      </c>
      <c r="H15">
        <v>0</v>
      </c>
      <c r="I15" t="s">
        <v>96</v>
      </c>
      <c r="J15" s="5" t="s">
        <v>93</v>
      </c>
      <c r="K15" t="s">
        <v>73</v>
      </c>
      <c r="M15" s="5" t="str">
        <f t="shared" si="0"/>
        <v>CamX_2023_EYKT_Dive_14_hh-mm-ss.sss.seq</v>
      </c>
      <c r="S15" s="20"/>
    </row>
    <row r="16" spans="1:19" x14ac:dyDescent="0.2">
      <c r="A16" s="3">
        <v>45157</v>
      </c>
      <c r="B16" s="5" t="s">
        <v>140</v>
      </c>
      <c r="C16" s="17" t="s">
        <v>141</v>
      </c>
      <c r="D16" t="s">
        <v>106</v>
      </c>
      <c r="E16" t="s">
        <v>83</v>
      </c>
      <c r="F16" t="s">
        <v>102</v>
      </c>
      <c r="G16" t="s">
        <v>131</v>
      </c>
      <c r="H16">
        <v>0.2</v>
      </c>
      <c r="I16" t="s">
        <v>96</v>
      </c>
      <c r="J16" s="5" t="s">
        <v>93</v>
      </c>
      <c r="K16" t="s">
        <v>73</v>
      </c>
      <c r="M16" s="5" t="str">
        <f t="shared" si="0"/>
        <v>CamX_2023_EYKT_Dive_15_hh-mm-ss.sss.seq</v>
      </c>
      <c r="S16" s="20"/>
    </row>
    <row r="17" spans="1:13" x14ac:dyDescent="0.2">
      <c r="A17" s="3">
        <v>45157</v>
      </c>
      <c r="B17" s="5" t="s">
        <v>142</v>
      </c>
      <c r="C17" s="17" t="s">
        <v>143</v>
      </c>
      <c r="D17" t="s">
        <v>106</v>
      </c>
      <c r="E17" t="s">
        <v>83</v>
      </c>
      <c r="F17" t="s">
        <v>102</v>
      </c>
      <c r="G17" t="s">
        <v>136</v>
      </c>
      <c r="H17">
        <v>0</v>
      </c>
      <c r="I17" t="s">
        <v>96</v>
      </c>
      <c r="J17" s="5" t="s">
        <v>93</v>
      </c>
      <c r="K17" t="s">
        <v>73</v>
      </c>
      <c r="L17" s="36" t="s">
        <v>175</v>
      </c>
      <c r="M17" s="5" t="str">
        <f t="shared" si="0"/>
        <v>CamX_2023_EYKT_Dive_16_hh-mm-ss.sss.seq</v>
      </c>
    </row>
    <row r="18" spans="1:13" x14ac:dyDescent="0.2">
      <c r="A18" s="3">
        <v>45157</v>
      </c>
      <c r="B18" s="5" t="s">
        <v>144</v>
      </c>
      <c r="C18" s="17" t="s">
        <v>163</v>
      </c>
      <c r="D18" t="s">
        <v>115</v>
      </c>
      <c r="E18" t="s">
        <v>83</v>
      </c>
      <c r="F18" t="s">
        <v>102</v>
      </c>
      <c r="G18" t="s">
        <v>136</v>
      </c>
      <c r="H18">
        <v>0</v>
      </c>
      <c r="I18" t="s">
        <v>96</v>
      </c>
      <c r="J18" s="5" t="s">
        <v>93</v>
      </c>
      <c r="K18" t="s">
        <v>73</v>
      </c>
      <c r="L18" s="36" t="s">
        <v>176</v>
      </c>
      <c r="M18" s="5" t="str">
        <f t="shared" si="0"/>
        <v>CamX_2023_EYKT_Dive_17_hh-mm-ss.sss.seq</v>
      </c>
    </row>
    <row r="19" spans="1:13" x14ac:dyDescent="0.2">
      <c r="A19" s="3">
        <v>45158</v>
      </c>
      <c r="B19" s="5" t="s">
        <v>146</v>
      </c>
      <c r="C19" s="17" t="s">
        <v>147</v>
      </c>
      <c r="D19" t="s">
        <v>98</v>
      </c>
      <c r="E19" t="s">
        <v>83</v>
      </c>
      <c r="F19" t="s">
        <v>102</v>
      </c>
      <c r="G19" t="s">
        <v>131</v>
      </c>
      <c r="H19">
        <v>0.1</v>
      </c>
      <c r="I19" t="s">
        <v>96</v>
      </c>
      <c r="J19" s="5" t="s">
        <v>93</v>
      </c>
      <c r="K19" t="s">
        <v>73</v>
      </c>
      <c r="M19" s="5" t="str">
        <f t="shared" si="0"/>
        <v>CamX_2023_EYKT_Dive_18_hh-mm-ss.sss.seq</v>
      </c>
    </row>
    <row r="20" spans="1:13" x14ac:dyDescent="0.2">
      <c r="A20" s="3">
        <v>45158</v>
      </c>
      <c r="B20" s="5" t="s">
        <v>149</v>
      </c>
      <c r="C20" s="17" t="s">
        <v>150</v>
      </c>
      <c r="D20" t="s">
        <v>98</v>
      </c>
      <c r="E20" t="s">
        <v>83</v>
      </c>
      <c r="F20" t="s">
        <v>102</v>
      </c>
      <c r="G20" t="s">
        <v>118</v>
      </c>
      <c r="H20">
        <v>0.1</v>
      </c>
      <c r="I20" t="s">
        <v>96</v>
      </c>
      <c r="J20" s="5" t="s">
        <v>93</v>
      </c>
      <c r="K20" t="s">
        <v>73</v>
      </c>
      <c r="M20" s="5" t="str">
        <f t="shared" si="0"/>
        <v>CamX_2023_EYKT_Dive_19_hh-mm-ss.sss.seq</v>
      </c>
    </row>
    <row r="21" spans="1:13" x14ac:dyDescent="0.2">
      <c r="A21" s="3">
        <v>45158</v>
      </c>
      <c r="B21" s="5" t="s">
        <v>151</v>
      </c>
      <c r="C21" s="17" t="s">
        <v>152</v>
      </c>
      <c r="D21" t="s">
        <v>98</v>
      </c>
      <c r="E21" t="s">
        <v>83</v>
      </c>
      <c r="F21" t="s">
        <v>174</v>
      </c>
      <c r="I21" t="s">
        <v>96</v>
      </c>
      <c r="J21" s="5" t="s">
        <v>93</v>
      </c>
      <c r="K21" t="s">
        <v>73</v>
      </c>
      <c r="L21" s="5" t="s">
        <v>177</v>
      </c>
      <c r="M21" s="5" t="str">
        <f t="shared" si="0"/>
        <v>CamX_2023_EYKT_Dive_20_hh-mm-ss.sss.seq</v>
      </c>
    </row>
    <row r="22" spans="1:13" x14ac:dyDescent="0.2">
      <c r="A22" s="3">
        <v>45158</v>
      </c>
      <c r="B22" s="5" t="s">
        <v>154</v>
      </c>
      <c r="C22" s="17" t="s">
        <v>156</v>
      </c>
      <c r="D22" t="s">
        <v>98</v>
      </c>
      <c r="E22" t="s">
        <v>83</v>
      </c>
      <c r="F22" t="s">
        <v>102</v>
      </c>
      <c r="G22" t="s">
        <v>136</v>
      </c>
      <c r="H22">
        <v>0</v>
      </c>
      <c r="I22" t="s">
        <v>96</v>
      </c>
      <c r="J22" s="5" t="s">
        <v>93</v>
      </c>
      <c r="K22" t="s">
        <v>73</v>
      </c>
      <c r="M22" s="5" t="str">
        <f t="shared" si="0"/>
        <v>CamX_2023_EYKT_Dive_21_hh-mm-ss.sss.seq</v>
      </c>
    </row>
    <row r="23" spans="1:13" x14ac:dyDescent="0.2">
      <c r="A23" s="3">
        <v>45158</v>
      </c>
      <c r="B23" s="5" t="s">
        <v>157</v>
      </c>
      <c r="C23" s="17" t="s">
        <v>158</v>
      </c>
      <c r="D23" t="s">
        <v>98</v>
      </c>
      <c r="E23" t="s">
        <v>83</v>
      </c>
      <c r="F23" t="s">
        <v>102</v>
      </c>
      <c r="G23" t="s">
        <v>136</v>
      </c>
      <c r="H23">
        <v>0</v>
      </c>
      <c r="I23" t="s">
        <v>96</v>
      </c>
      <c r="J23" s="5" t="s">
        <v>93</v>
      </c>
      <c r="K23" t="s">
        <v>73</v>
      </c>
      <c r="M23" s="5" t="str">
        <f t="shared" si="0"/>
        <v>CamX_2023_EYKT_Dive_22_hh-mm-ss.sss.seq</v>
      </c>
    </row>
    <row r="24" spans="1:13" x14ac:dyDescent="0.2">
      <c r="A24" s="3">
        <v>45158</v>
      </c>
      <c r="B24" s="5" t="s">
        <v>159</v>
      </c>
      <c r="C24" s="17" t="s">
        <v>160</v>
      </c>
      <c r="D24" t="s">
        <v>98</v>
      </c>
      <c r="E24" t="s">
        <v>83</v>
      </c>
      <c r="F24" t="s">
        <v>102</v>
      </c>
      <c r="G24" t="s">
        <v>118</v>
      </c>
      <c r="H24">
        <v>0.25</v>
      </c>
      <c r="I24" t="s">
        <v>96</v>
      </c>
      <c r="J24" s="5" t="s">
        <v>93</v>
      </c>
      <c r="K24" t="s">
        <v>73</v>
      </c>
      <c r="M24" s="5" t="str">
        <f t="shared" si="0"/>
        <v>CamX_2023_EYKT_Dive_23_hh-mm-ss.sss.seq</v>
      </c>
    </row>
    <row r="25" spans="1:13" x14ac:dyDescent="0.2">
      <c r="A25" s="3">
        <v>45158</v>
      </c>
      <c r="B25" s="5" t="s">
        <v>161</v>
      </c>
      <c r="C25" s="17" t="s">
        <v>164</v>
      </c>
      <c r="D25" t="s">
        <v>98</v>
      </c>
      <c r="E25" t="s">
        <v>83</v>
      </c>
      <c r="F25" t="s">
        <v>102</v>
      </c>
      <c r="G25" t="s">
        <v>118</v>
      </c>
      <c r="H25">
        <v>0.1</v>
      </c>
      <c r="I25" t="s">
        <v>96</v>
      </c>
      <c r="J25" s="5" t="s">
        <v>93</v>
      </c>
      <c r="K25" t="s">
        <v>73</v>
      </c>
      <c r="M25" s="5" t="str">
        <f t="shared" si="0"/>
        <v>CamX_2023_EYKT_Dive_24_hh-mm-ss.sss.seq</v>
      </c>
    </row>
    <row r="26" spans="1:13" x14ac:dyDescent="0.2">
      <c r="B26" s="5"/>
      <c r="C26" s="17"/>
      <c r="D26" s="5"/>
      <c r="J26" s="5"/>
      <c r="M26" s="5"/>
    </row>
    <row r="27" spans="1:13" x14ac:dyDescent="0.2">
      <c r="B27" s="5"/>
      <c r="C27" s="17"/>
      <c r="D27" s="5"/>
      <c r="J27" s="5"/>
      <c r="M27" s="5"/>
    </row>
    <row r="28" spans="1:13" x14ac:dyDescent="0.2">
      <c r="B28" s="5"/>
      <c r="C28" s="17"/>
      <c r="D28" s="5"/>
      <c r="J28" s="5"/>
      <c r="M28" s="5"/>
    </row>
    <row r="29" spans="1:13" x14ac:dyDescent="0.2">
      <c r="B29" s="5"/>
      <c r="C29" s="17"/>
      <c r="D29" s="5"/>
      <c r="J29" s="5"/>
      <c r="M29" s="5"/>
    </row>
    <row r="30" spans="1:13" x14ac:dyDescent="0.2">
      <c r="B30" s="5"/>
      <c r="C30" s="17"/>
      <c r="D30" s="5"/>
      <c r="J30" s="5"/>
      <c r="M30" s="5"/>
    </row>
    <row r="31" spans="1:13" x14ac:dyDescent="0.2">
      <c r="B31" s="5"/>
      <c r="C31" s="17"/>
      <c r="D31" s="5"/>
      <c r="J31" s="5"/>
      <c r="M31" s="5"/>
    </row>
    <row r="32" spans="1:13" x14ac:dyDescent="0.2">
      <c r="B32" s="5"/>
      <c r="C32" s="17"/>
      <c r="D32" s="5"/>
      <c r="J32" s="5"/>
      <c r="M32" s="5"/>
    </row>
    <row r="33" spans="2:13" x14ac:dyDescent="0.2">
      <c r="B33" s="5"/>
      <c r="C33" s="17"/>
      <c r="D33" s="5"/>
      <c r="J33" s="5"/>
      <c r="M33" s="5"/>
    </row>
    <row r="34" spans="2:13" x14ac:dyDescent="0.2">
      <c r="B34" s="5"/>
      <c r="C34" s="17" t="s">
        <v>155</v>
      </c>
      <c r="D34" s="5"/>
      <c r="J34" s="5"/>
      <c r="M34" s="5"/>
    </row>
    <row r="35" spans="2:13" x14ac:dyDescent="0.2">
      <c r="B35" s="5"/>
      <c r="C35" s="17"/>
      <c r="D35" s="5"/>
      <c r="J35" s="5"/>
      <c r="M35" s="5"/>
    </row>
    <row r="36" spans="2:13" x14ac:dyDescent="0.2">
      <c r="B36" s="5"/>
      <c r="C36" s="17"/>
      <c r="J36" s="5"/>
      <c r="L36" s="5"/>
      <c r="M36" s="5"/>
    </row>
  </sheetData>
  <phoneticPr fontId="1" type="noConversion"/>
  <pageMargins left="0.75" right="0.75" top="1" bottom="1" header="0.5" footer="0.5"/>
  <pageSetup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366"/>
  <sheetViews>
    <sheetView workbookViewId="0">
      <pane ySplit="2" topLeftCell="A3" activePane="bottomLeft" state="frozen"/>
      <selection pane="bottomLeft" activeCell="G17" sqref="G17"/>
    </sheetView>
  </sheetViews>
  <sheetFormatPr defaultRowHeight="12.75" x14ac:dyDescent="0.2"/>
  <cols>
    <col min="1" max="1" width="9.140625" bestFit="1" customWidth="1"/>
    <col min="2" max="2" width="10.85546875" bestFit="1" customWidth="1"/>
    <col min="3" max="3" width="9.140625" style="1" bestFit="1" customWidth="1"/>
    <col min="4" max="4" width="10" style="1" bestFit="1" customWidth="1"/>
    <col min="5" max="5" width="9.85546875" bestFit="1" customWidth="1"/>
    <col min="6" max="6" width="10" bestFit="1" customWidth="1"/>
    <col min="7" max="7" width="69.7109375" customWidth="1"/>
  </cols>
  <sheetData>
    <row r="1" spans="1:7" x14ac:dyDescent="0.2">
      <c r="C1" s="26" t="s">
        <v>13</v>
      </c>
      <c r="D1" s="26"/>
      <c r="E1" s="26" t="s">
        <v>2</v>
      </c>
      <c r="F1" s="26"/>
    </row>
    <row r="2" spans="1:7" x14ac:dyDescent="0.2">
      <c r="A2" s="2" t="s">
        <v>0</v>
      </c>
      <c r="B2" s="2" t="s">
        <v>7</v>
      </c>
      <c r="C2" s="2" t="s">
        <v>8</v>
      </c>
      <c r="D2" s="2" t="s">
        <v>9</v>
      </c>
      <c r="E2" s="2" t="s">
        <v>8</v>
      </c>
      <c r="F2" s="2" t="s">
        <v>9</v>
      </c>
      <c r="G2" s="2" t="s">
        <v>10</v>
      </c>
    </row>
    <row r="3" spans="1:7" x14ac:dyDescent="0.2">
      <c r="A3" s="3">
        <v>45135</v>
      </c>
      <c r="B3" t="s">
        <v>61</v>
      </c>
      <c r="G3" s="5" t="s">
        <v>85</v>
      </c>
    </row>
    <row r="4" spans="1:7" x14ac:dyDescent="0.2">
      <c r="A4" s="3">
        <v>45144</v>
      </c>
      <c r="B4" t="s">
        <v>65</v>
      </c>
      <c r="C4" s="1">
        <v>0</v>
      </c>
      <c r="D4" s="1">
        <f>C4</f>
        <v>0</v>
      </c>
      <c r="E4">
        <v>0</v>
      </c>
      <c r="F4" s="1">
        <f>E4</f>
        <v>0</v>
      </c>
      <c r="G4" s="5" t="s">
        <v>91</v>
      </c>
    </row>
    <row r="5" spans="1:7" x14ac:dyDescent="0.2">
      <c r="A5" s="3">
        <v>45145</v>
      </c>
      <c r="B5" t="s">
        <v>78</v>
      </c>
      <c r="C5" s="1">
        <v>0</v>
      </c>
      <c r="D5" s="1">
        <f>D4+C5</f>
        <v>0</v>
      </c>
      <c r="E5">
        <v>0</v>
      </c>
      <c r="F5" s="1">
        <f>F4+E5</f>
        <v>0</v>
      </c>
      <c r="G5" s="5" t="s">
        <v>86</v>
      </c>
    </row>
    <row r="6" spans="1:7" x14ac:dyDescent="0.2">
      <c r="A6" s="3">
        <v>45146</v>
      </c>
      <c r="B6" t="s">
        <v>67</v>
      </c>
      <c r="C6" s="1">
        <v>0</v>
      </c>
      <c r="D6" s="1">
        <f t="shared" ref="D6:D11" si="0">D5+C6</f>
        <v>0</v>
      </c>
      <c r="E6">
        <v>0</v>
      </c>
      <c r="F6" s="1">
        <f t="shared" ref="F6:F11" si="1">F5+E6</f>
        <v>0</v>
      </c>
      <c r="G6" s="5" t="s">
        <v>86</v>
      </c>
    </row>
    <row r="7" spans="1:7" x14ac:dyDescent="0.2">
      <c r="A7" s="3">
        <v>45147</v>
      </c>
      <c r="B7" t="s">
        <v>68</v>
      </c>
      <c r="C7" s="1">
        <v>0</v>
      </c>
      <c r="D7" s="1">
        <f t="shared" si="0"/>
        <v>0</v>
      </c>
      <c r="E7">
        <v>0</v>
      </c>
      <c r="F7" s="1">
        <f t="shared" si="1"/>
        <v>0</v>
      </c>
      <c r="G7" s="5" t="s">
        <v>87</v>
      </c>
    </row>
    <row r="8" spans="1:7" x14ac:dyDescent="0.2">
      <c r="A8" s="3">
        <v>45148</v>
      </c>
      <c r="B8" t="s">
        <v>69</v>
      </c>
      <c r="C8" s="1">
        <v>0</v>
      </c>
      <c r="D8" s="1">
        <f t="shared" si="0"/>
        <v>0</v>
      </c>
      <c r="E8">
        <v>0</v>
      </c>
      <c r="F8" s="1">
        <f t="shared" si="1"/>
        <v>0</v>
      </c>
      <c r="G8" s="5" t="s">
        <v>88</v>
      </c>
    </row>
    <row r="9" spans="1:7" x14ac:dyDescent="0.2">
      <c r="A9" s="3">
        <v>45149</v>
      </c>
      <c r="B9" t="s">
        <v>61</v>
      </c>
      <c r="C9" s="1">
        <v>0</v>
      </c>
      <c r="D9" s="1">
        <f t="shared" si="0"/>
        <v>0</v>
      </c>
      <c r="E9">
        <v>0</v>
      </c>
      <c r="F9" s="1">
        <f t="shared" si="1"/>
        <v>0</v>
      </c>
      <c r="G9" s="5" t="s">
        <v>89</v>
      </c>
    </row>
    <row r="10" spans="1:7" x14ac:dyDescent="0.2">
      <c r="A10" s="3">
        <v>45150</v>
      </c>
      <c r="B10" t="s">
        <v>76</v>
      </c>
      <c r="C10" s="1">
        <v>0</v>
      </c>
      <c r="D10" s="1">
        <f t="shared" si="0"/>
        <v>0</v>
      </c>
      <c r="E10">
        <v>0</v>
      </c>
      <c r="F10" s="1">
        <f t="shared" si="1"/>
        <v>0</v>
      </c>
      <c r="G10" s="5" t="s">
        <v>90</v>
      </c>
    </row>
    <row r="11" spans="1:7" x14ac:dyDescent="0.2">
      <c r="A11" s="3">
        <v>45151</v>
      </c>
      <c r="B11" t="s">
        <v>65</v>
      </c>
      <c r="C11" s="1">
        <v>0</v>
      </c>
      <c r="D11" s="1">
        <f t="shared" si="0"/>
        <v>0</v>
      </c>
      <c r="E11">
        <v>0</v>
      </c>
      <c r="F11" s="1">
        <f t="shared" si="1"/>
        <v>0</v>
      </c>
      <c r="G11" s="5" t="s">
        <v>90</v>
      </c>
    </row>
    <row r="12" spans="1:7" x14ac:dyDescent="0.2">
      <c r="A12" s="3">
        <v>45152</v>
      </c>
      <c r="B12" t="s">
        <v>78</v>
      </c>
      <c r="C12" s="1">
        <v>0</v>
      </c>
      <c r="D12" s="1">
        <f>D11+C12</f>
        <v>0</v>
      </c>
      <c r="E12">
        <v>0</v>
      </c>
      <c r="F12" s="1">
        <f>F11+E12</f>
        <v>0</v>
      </c>
      <c r="G12" s="5" t="s">
        <v>90</v>
      </c>
    </row>
    <row r="13" spans="1:7" x14ac:dyDescent="0.2">
      <c r="A13" s="3">
        <v>45153</v>
      </c>
      <c r="B13" t="s">
        <v>67</v>
      </c>
      <c r="C13" s="1">
        <v>0</v>
      </c>
      <c r="D13" s="1">
        <f>D12+C13</f>
        <v>0</v>
      </c>
      <c r="E13">
        <v>0</v>
      </c>
      <c r="F13" s="1">
        <f>F12+E13</f>
        <v>0</v>
      </c>
      <c r="G13" s="5" t="s">
        <v>90</v>
      </c>
    </row>
    <row r="14" spans="1:7" x14ac:dyDescent="0.2">
      <c r="A14" s="3">
        <v>45154</v>
      </c>
      <c r="B14" t="s">
        <v>68</v>
      </c>
      <c r="C14" s="1">
        <v>0</v>
      </c>
      <c r="D14" s="1">
        <f t="shared" ref="D14:D19" si="2">D13+C14</f>
        <v>0</v>
      </c>
      <c r="E14">
        <v>0</v>
      </c>
      <c r="F14" s="1">
        <f t="shared" ref="F14:F19" si="3">F13+E14</f>
        <v>0</v>
      </c>
      <c r="G14" s="5" t="s">
        <v>90</v>
      </c>
    </row>
    <row r="15" spans="1:7" x14ac:dyDescent="0.2">
      <c r="A15" s="3">
        <v>45155</v>
      </c>
      <c r="B15" t="s">
        <v>69</v>
      </c>
      <c r="C15" s="1">
        <v>0</v>
      </c>
      <c r="D15" s="1">
        <f t="shared" si="2"/>
        <v>0</v>
      </c>
      <c r="E15">
        <v>0</v>
      </c>
      <c r="F15" s="1">
        <f t="shared" si="3"/>
        <v>0</v>
      </c>
      <c r="G15" s="5" t="s">
        <v>90</v>
      </c>
    </row>
    <row r="16" spans="1:7" x14ac:dyDescent="0.2">
      <c r="A16" s="3">
        <v>45156</v>
      </c>
      <c r="B16" t="s">
        <v>61</v>
      </c>
      <c r="C16" s="1">
        <v>8</v>
      </c>
      <c r="D16" s="1">
        <f t="shared" si="2"/>
        <v>8</v>
      </c>
      <c r="E16" s="1">
        <v>8</v>
      </c>
      <c r="F16" s="1">
        <f t="shared" si="3"/>
        <v>8</v>
      </c>
      <c r="G16" s="5" t="s">
        <v>169</v>
      </c>
    </row>
    <row r="17" spans="1:7" x14ac:dyDescent="0.2">
      <c r="A17" s="3">
        <v>45157</v>
      </c>
      <c r="B17" t="s">
        <v>76</v>
      </c>
      <c r="C17" s="1">
        <v>9</v>
      </c>
      <c r="D17" s="1">
        <f t="shared" si="2"/>
        <v>17</v>
      </c>
      <c r="E17" s="1">
        <v>9</v>
      </c>
      <c r="F17" s="1">
        <f t="shared" si="3"/>
        <v>17</v>
      </c>
      <c r="G17" s="5" t="s">
        <v>165</v>
      </c>
    </row>
    <row r="18" spans="1:7" x14ac:dyDescent="0.2">
      <c r="A18" s="3">
        <v>45158</v>
      </c>
      <c r="B18" t="s">
        <v>65</v>
      </c>
      <c r="C18" s="1">
        <v>9</v>
      </c>
      <c r="D18" s="1">
        <f t="shared" si="2"/>
        <v>26</v>
      </c>
      <c r="E18" s="1">
        <v>7</v>
      </c>
      <c r="F18" s="1">
        <f t="shared" si="3"/>
        <v>24</v>
      </c>
      <c r="G18" s="5" t="s">
        <v>166</v>
      </c>
    </row>
    <row r="19" spans="1:7" x14ac:dyDescent="0.2">
      <c r="A19" s="3">
        <v>45159</v>
      </c>
      <c r="B19" t="s">
        <v>78</v>
      </c>
      <c r="C19" s="1">
        <v>6</v>
      </c>
      <c r="D19" s="1">
        <f t="shared" si="2"/>
        <v>32</v>
      </c>
      <c r="E19" s="1">
        <v>0</v>
      </c>
      <c r="F19" s="1">
        <f t="shared" si="3"/>
        <v>24</v>
      </c>
      <c r="G19" t="s">
        <v>167</v>
      </c>
    </row>
    <row r="20" spans="1:7" x14ac:dyDescent="0.2">
      <c r="A20" s="3">
        <v>45160</v>
      </c>
      <c r="B20" t="s">
        <v>67</v>
      </c>
      <c r="F20" s="1"/>
      <c r="G20" t="s">
        <v>168</v>
      </c>
    </row>
    <row r="21" spans="1:7" x14ac:dyDescent="0.2">
      <c r="A21" s="3"/>
    </row>
    <row r="22" spans="1:7" x14ac:dyDescent="0.2">
      <c r="A22" s="3"/>
    </row>
    <row r="23" spans="1:7" x14ac:dyDescent="0.2">
      <c r="A23" s="3"/>
    </row>
    <row r="24" spans="1:7" x14ac:dyDescent="0.2">
      <c r="A24" s="3"/>
    </row>
    <row r="25" spans="1:7" x14ac:dyDescent="0.2">
      <c r="A25" s="3"/>
    </row>
    <row r="26" spans="1:7" x14ac:dyDescent="0.2">
      <c r="A26" s="3"/>
    </row>
    <row r="357" spans="3:6" x14ac:dyDescent="0.2">
      <c r="F357">
        <v>1</v>
      </c>
    </row>
    <row r="366" spans="3:6" x14ac:dyDescent="0.2">
      <c r="C366" s="1" t="s">
        <v>66</v>
      </c>
    </row>
  </sheetData>
  <mergeCells count="2">
    <mergeCell ref="C1:D1"/>
    <mergeCell ref="E1:F1"/>
  </mergeCells>
  <phoneticPr fontId="1"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23"/>
  <sheetViews>
    <sheetView tabSelected="1" workbookViewId="0">
      <pane ySplit="1" topLeftCell="A2" activePane="bottomLeft" state="frozen"/>
      <selection pane="bottomLeft" activeCell="H21" sqref="H21"/>
    </sheetView>
  </sheetViews>
  <sheetFormatPr defaultRowHeight="12.75" x14ac:dyDescent="0.2"/>
  <cols>
    <col min="1" max="1" width="23.5703125" bestFit="1" customWidth="1"/>
    <col min="2" max="2" width="9.140625" bestFit="1" customWidth="1"/>
    <col min="3" max="3" width="14.5703125" bestFit="1" customWidth="1"/>
    <col min="4" max="4" width="11.5703125" bestFit="1" customWidth="1"/>
    <col min="5" max="5" width="30.28515625" customWidth="1"/>
    <col min="6" max="6" width="9" bestFit="1" customWidth="1"/>
    <col min="7" max="7" width="15.28515625" customWidth="1"/>
    <col min="8" max="8" width="16" customWidth="1"/>
    <col min="9" max="9" width="12.85546875" customWidth="1"/>
    <col min="10" max="10" width="14.7109375" customWidth="1"/>
  </cols>
  <sheetData>
    <row r="1" spans="1:6" x14ac:dyDescent="0.2">
      <c r="A1" t="s">
        <v>17</v>
      </c>
      <c r="B1" t="s">
        <v>0</v>
      </c>
      <c r="C1" t="s">
        <v>92</v>
      </c>
      <c r="D1" t="s">
        <v>14</v>
      </c>
      <c r="E1" t="s">
        <v>6</v>
      </c>
      <c r="F1" t="s">
        <v>80</v>
      </c>
    </row>
    <row r="2" spans="1:6" x14ac:dyDescent="0.2">
      <c r="A2" s="5" t="s">
        <v>84</v>
      </c>
      <c r="B2" s="3">
        <v>45156</v>
      </c>
      <c r="C2" s="23">
        <v>0.31634259259259262</v>
      </c>
      <c r="D2" t="s">
        <v>81</v>
      </c>
      <c r="E2" t="s">
        <v>103</v>
      </c>
    </row>
    <row r="3" spans="1:6" x14ac:dyDescent="0.2">
      <c r="A3" s="5"/>
      <c r="B3" s="3"/>
      <c r="C3" s="24">
        <v>0.34265046296296298</v>
      </c>
      <c r="D3" t="s">
        <v>100</v>
      </c>
      <c r="E3" s="5"/>
    </row>
    <row r="4" spans="1:6" x14ac:dyDescent="0.2">
      <c r="A4" s="5" t="s">
        <v>101</v>
      </c>
      <c r="B4" s="3">
        <v>45156</v>
      </c>
      <c r="C4" s="23">
        <v>0.36145833333333338</v>
      </c>
      <c r="D4" t="s">
        <v>81</v>
      </c>
    </row>
    <row r="5" spans="1:6" x14ac:dyDescent="0.2">
      <c r="A5" s="5"/>
      <c r="B5" s="3"/>
      <c r="C5" s="23">
        <v>0.38917824074074076</v>
      </c>
      <c r="E5" s="5"/>
    </row>
    <row r="6" spans="1:6" x14ac:dyDescent="0.2">
      <c r="A6" s="5" t="s">
        <v>104</v>
      </c>
      <c r="B6" s="3">
        <v>45156</v>
      </c>
      <c r="C6" s="23">
        <v>0.44667824074074075</v>
      </c>
      <c r="D6" t="s">
        <v>81</v>
      </c>
      <c r="E6" s="5"/>
    </row>
    <row r="7" spans="1:6" x14ac:dyDescent="0.2">
      <c r="A7" s="5"/>
      <c r="B7" s="3"/>
      <c r="C7" s="23">
        <v>0.46248842592592593</v>
      </c>
      <c r="E7" s="5" t="s">
        <v>107</v>
      </c>
    </row>
    <row r="8" spans="1:6" x14ac:dyDescent="0.2">
      <c r="A8" s="5"/>
      <c r="B8" s="3"/>
      <c r="C8" s="23">
        <v>0.46644675925925921</v>
      </c>
      <c r="E8" s="5" t="s">
        <v>107</v>
      </c>
    </row>
    <row r="9" spans="1:6" x14ac:dyDescent="0.2">
      <c r="B9" s="3"/>
      <c r="C9" s="23">
        <v>0.47542824074074069</v>
      </c>
      <c r="D9" t="s">
        <v>100</v>
      </c>
      <c r="E9" s="5"/>
    </row>
    <row r="10" spans="1:6" x14ac:dyDescent="0.2">
      <c r="A10" s="5" t="s">
        <v>109</v>
      </c>
      <c r="B10" s="3">
        <v>45156</v>
      </c>
      <c r="C10" s="23">
        <v>0.50590277777777781</v>
      </c>
      <c r="D10" t="s">
        <v>81</v>
      </c>
      <c r="E10" s="5"/>
    </row>
    <row r="11" spans="1:6" x14ac:dyDescent="0.2">
      <c r="B11" s="3"/>
      <c r="C11" s="23">
        <v>0.50844907407407403</v>
      </c>
      <c r="E11" s="5" t="s">
        <v>111</v>
      </c>
      <c r="F11">
        <v>2</v>
      </c>
    </row>
    <row r="12" spans="1:6" x14ac:dyDescent="0.2">
      <c r="B12" s="3"/>
      <c r="C12" s="23">
        <v>0.50966435185185188</v>
      </c>
      <c r="E12" s="5" t="s">
        <v>111</v>
      </c>
      <c r="F12">
        <v>2</v>
      </c>
    </row>
    <row r="13" spans="1:6" x14ac:dyDescent="0.2">
      <c r="A13" s="5"/>
      <c r="B13" s="3"/>
      <c r="C13" s="23">
        <v>0.5176736111111111</v>
      </c>
      <c r="E13" s="5" t="s">
        <v>111</v>
      </c>
      <c r="F13">
        <v>1</v>
      </c>
    </row>
    <row r="14" spans="1:6" x14ac:dyDescent="0.2">
      <c r="B14" s="3"/>
      <c r="C14" s="23">
        <v>0.52260416666666665</v>
      </c>
      <c r="E14" s="5" t="s">
        <v>111</v>
      </c>
      <c r="F14">
        <v>1</v>
      </c>
    </row>
    <row r="15" spans="1:6" x14ac:dyDescent="0.2">
      <c r="B15" s="3"/>
      <c r="C15" s="23">
        <v>0.53561342592592587</v>
      </c>
      <c r="D15" s="5" t="s">
        <v>100</v>
      </c>
    </row>
    <row r="16" spans="1:6" x14ac:dyDescent="0.2">
      <c r="A16" s="5" t="s">
        <v>112</v>
      </c>
      <c r="B16" s="3">
        <v>45156</v>
      </c>
      <c r="C16" s="23">
        <v>0.56407407407407406</v>
      </c>
      <c r="D16" t="s">
        <v>81</v>
      </c>
      <c r="E16" s="5"/>
    </row>
    <row r="17" spans="1:6" x14ac:dyDescent="0.2">
      <c r="A17" s="5"/>
      <c r="B17" s="3"/>
      <c r="C17" s="23">
        <v>0.56427083333333339</v>
      </c>
      <c r="D17" s="5"/>
      <c r="E17" s="5" t="s">
        <v>111</v>
      </c>
      <c r="F17">
        <v>4</v>
      </c>
    </row>
    <row r="18" spans="1:6" x14ac:dyDescent="0.2">
      <c r="B18" s="3"/>
      <c r="C18" s="23">
        <v>0.56587962962962968</v>
      </c>
      <c r="E18" s="5" t="s">
        <v>111</v>
      </c>
      <c r="F18">
        <v>1</v>
      </c>
    </row>
    <row r="19" spans="1:6" x14ac:dyDescent="0.2">
      <c r="B19" s="3"/>
      <c r="C19" s="23">
        <v>0.56712962962962965</v>
      </c>
      <c r="E19" s="5" t="s">
        <v>111</v>
      </c>
      <c r="F19">
        <v>1</v>
      </c>
    </row>
    <row r="20" spans="1:6" x14ac:dyDescent="0.2">
      <c r="B20" s="3"/>
      <c r="C20" s="23">
        <v>0.56896990740740738</v>
      </c>
      <c r="E20" s="5" t="s">
        <v>111</v>
      </c>
      <c r="F20">
        <v>2</v>
      </c>
    </row>
    <row r="21" spans="1:6" x14ac:dyDescent="0.2">
      <c r="B21" s="3"/>
      <c r="C21" s="23">
        <v>0.57317129629629626</v>
      </c>
      <c r="E21" s="5" t="s">
        <v>111</v>
      </c>
      <c r="F21">
        <v>1</v>
      </c>
    </row>
    <row r="22" spans="1:6" x14ac:dyDescent="0.2">
      <c r="A22" s="5"/>
      <c r="B22" s="3"/>
      <c r="C22" s="23">
        <v>0.57363425925925926</v>
      </c>
      <c r="E22" s="5" t="s">
        <v>111</v>
      </c>
      <c r="F22">
        <v>2</v>
      </c>
    </row>
    <row r="23" spans="1:6" x14ac:dyDescent="0.2">
      <c r="B23" s="3"/>
      <c r="C23" s="23">
        <v>0.57422453703703702</v>
      </c>
      <c r="E23" s="5" t="s">
        <v>111</v>
      </c>
      <c r="F23">
        <v>1</v>
      </c>
    </row>
    <row r="24" spans="1:6" x14ac:dyDescent="0.2">
      <c r="B24" s="3"/>
      <c r="C24" s="23">
        <v>0.57677083333333334</v>
      </c>
      <c r="E24" s="5" t="s">
        <v>111</v>
      </c>
      <c r="F24">
        <v>2</v>
      </c>
    </row>
    <row r="25" spans="1:6" x14ac:dyDescent="0.2">
      <c r="B25" s="3"/>
      <c r="C25" s="23">
        <v>0.57773148148148146</v>
      </c>
      <c r="E25" s="5" t="s">
        <v>111</v>
      </c>
      <c r="F25">
        <v>1</v>
      </c>
    </row>
    <row r="26" spans="1:6" x14ac:dyDescent="0.2">
      <c r="A26" s="5"/>
      <c r="B26" s="3"/>
      <c r="C26" s="23">
        <v>0.58578703703703705</v>
      </c>
      <c r="D26" s="5"/>
      <c r="E26" s="5" t="s">
        <v>111</v>
      </c>
      <c r="F26">
        <v>1</v>
      </c>
    </row>
    <row r="27" spans="1:6" x14ac:dyDescent="0.2">
      <c r="B27" s="3"/>
      <c r="C27" s="24">
        <v>0.58851851851851855</v>
      </c>
      <c r="E27" s="5" t="s">
        <v>111</v>
      </c>
      <c r="F27">
        <v>1</v>
      </c>
    </row>
    <row r="28" spans="1:6" x14ac:dyDescent="0.2">
      <c r="A28" s="5"/>
      <c r="B28" s="3"/>
      <c r="C28" s="23">
        <v>0.58915509259259258</v>
      </c>
      <c r="D28" s="5"/>
      <c r="E28" s="5" t="s">
        <v>111</v>
      </c>
      <c r="F28">
        <v>1</v>
      </c>
    </row>
    <row r="29" spans="1:6" x14ac:dyDescent="0.2">
      <c r="B29" s="3"/>
      <c r="C29" s="23">
        <v>0.58953703703703708</v>
      </c>
      <c r="E29" s="5" t="s">
        <v>111</v>
      </c>
      <c r="F29">
        <v>2</v>
      </c>
    </row>
    <row r="30" spans="1:6" x14ac:dyDescent="0.2">
      <c r="A30" s="5"/>
      <c r="B30" s="3"/>
      <c r="C30" s="23">
        <v>0.59483796296296299</v>
      </c>
      <c r="E30" s="5" t="s">
        <v>111</v>
      </c>
      <c r="F30">
        <v>2</v>
      </c>
    </row>
    <row r="31" spans="1:6" x14ac:dyDescent="0.2">
      <c r="C31" s="23">
        <v>0.59673611111111113</v>
      </c>
      <c r="D31" t="s">
        <v>100</v>
      </c>
      <c r="E31" s="5"/>
    </row>
    <row r="32" spans="1:6" x14ac:dyDescent="0.2">
      <c r="A32" s="5" t="s">
        <v>114</v>
      </c>
      <c r="B32" s="3">
        <v>45156</v>
      </c>
      <c r="C32" s="23">
        <v>0.6337962962962963</v>
      </c>
      <c r="D32" t="s">
        <v>81</v>
      </c>
      <c r="E32" s="5"/>
    </row>
    <row r="33" spans="1:9" x14ac:dyDescent="0.2">
      <c r="A33" s="5"/>
      <c r="B33" s="3"/>
      <c r="C33" s="23">
        <v>0.63491898148148151</v>
      </c>
      <c r="E33" s="5" t="s">
        <v>111</v>
      </c>
      <c r="F33">
        <v>1</v>
      </c>
    </row>
    <row r="34" spans="1:9" x14ac:dyDescent="0.2">
      <c r="C34" s="23">
        <v>0.64055555555555554</v>
      </c>
      <c r="E34" s="5" t="s">
        <v>111</v>
      </c>
      <c r="F34">
        <v>1</v>
      </c>
    </row>
    <row r="35" spans="1:9" x14ac:dyDescent="0.2">
      <c r="A35" s="5"/>
      <c r="B35" s="3"/>
      <c r="C35" s="23">
        <v>0.64410879629629625</v>
      </c>
      <c r="E35" s="5" t="s">
        <v>111</v>
      </c>
      <c r="F35">
        <v>1</v>
      </c>
    </row>
    <row r="36" spans="1:9" x14ac:dyDescent="0.2">
      <c r="B36" s="3"/>
      <c r="C36" s="23">
        <v>0.6491203703703704</v>
      </c>
      <c r="E36" s="5" t="s">
        <v>111</v>
      </c>
      <c r="F36">
        <v>1</v>
      </c>
    </row>
    <row r="37" spans="1:9" x14ac:dyDescent="0.2">
      <c r="C37" s="24">
        <v>0.64934027777777781</v>
      </c>
      <c r="D37" s="5"/>
      <c r="E37" s="5" t="s">
        <v>111</v>
      </c>
      <c r="F37">
        <v>1</v>
      </c>
      <c r="I37" s="5"/>
    </row>
    <row r="38" spans="1:9" x14ac:dyDescent="0.2">
      <c r="C38" s="23">
        <v>0.65039351851851845</v>
      </c>
      <c r="E38" s="5" t="s">
        <v>111</v>
      </c>
      <c r="F38">
        <v>1</v>
      </c>
    </row>
    <row r="39" spans="1:9" x14ac:dyDescent="0.2">
      <c r="A39" s="5"/>
      <c r="B39" s="3"/>
      <c r="C39" s="23">
        <v>0.65053240740740736</v>
      </c>
      <c r="D39" s="5"/>
      <c r="E39" s="5" t="s">
        <v>111</v>
      </c>
      <c r="F39">
        <v>1</v>
      </c>
    </row>
    <row r="40" spans="1:9" x14ac:dyDescent="0.2">
      <c r="A40" s="5"/>
      <c r="B40" s="3"/>
      <c r="C40" s="23">
        <v>0.65081018518518519</v>
      </c>
      <c r="E40" s="5" t="s">
        <v>111</v>
      </c>
      <c r="F40">
        <v>1</v>
      </c>
    </row>
    <row r="41" spans="1:9" x14ac:dyDescent="0.2">
      <c r="C41" s="23">
        <v>0.65249999999999997</v>
      </c>
      <c r="E41" s="5" t="s">
        <v>111</v>
      </c>
      <c r="F41">
        <v>1</v>
      </c>
    </row>
    <row r="42" spans="1:9" x14ac:dyDescent="0.2">
      <c r="B42" s="3"/>
      <c r="C42" s="23">
        <v>0.66052083333333333</v>
      </c>
      <c r="D42" s="5" t="s">
        <v>100</v>
      </c>
      <c r="E42" s="5"/>
    </row>
    <row r="43" spans="1:9" x14ac:dyDescent="0.2">
      <c r="A43" s="5" t="s">
        <v>116</v>
      </c>
      <c r="B43" s="3">
        <v>45156</v>
      </c>
      <c r="C43" s="23">
        <v>0.68739583333333332</v>
      </c>
      <c r="D43" t="s">
        <v>81</v>
      </c>
      <c r="E43" s="5"/>
    </row>
    <row r="44" spans="1:9" x14ac:dyDescent="0.2">
      <c r="A44" s="5"/>
      <c r="B44" s="3"/>
      <c r="C44" s="23">
        <v>0.69130787037037045</v>
      </c>
      <c r="E44" s="5" t="s">
        <v>111</v>
      </c>
      <c r="F44">
        <v>1</v>
      </c>
    </row>
    <row r="45" spans="1:9" x14ac:dyDescent="0.2">
      <c r="B45" s="3"/>
      <c r="C45" s="23">
        <v>0.70164351851851858</v>
      </c>
      <c r="D45" s="5"/>
      <c r="E45" s="5" t="s">
        <v>111</v>
      </c>
      <c r="F45">
        <v>1</v>
      </c>
    </row>
    <row r="46" spans="1:9" x14ac:dyDescent="0.2">
      <c r="C46" s="23">
        <v>0.70208333333333339</v>
      </c>
      <c r="E46" s="5" t="s">
        <v>111</v>
      </c>
      <c r="F46">
        <v>1</v>
      </c>
    </row>
    <row r="47" spans="1:9" x14ac:dyDescent="0.2">
      <c r="A47" s="5"/>
      <c r="B47" s="3"/>
      <c r="C47" s="23">
        <v>0.70365740740740745</v>
      </c>
      <c r="D47" s="5"/>
      <c r="E47" s="5" t="s">
        <v>111</v>
      </c>
      <c r="F47">
        <v>1</v>
      </c>
    </row>
    <row r="48" spans="1:9" x14ac:dyDescent="0.2">
      <c r="A48" s="5"/>
      <c r="B48" s="3"/>
      <c r="C48" s="23">
        <v>0.70942129629629624</v>
      </c>
      <c r="D48" s="5"/>
      <c r="E48" s="5" t="s">
        <v>111</v>
      </c>
      <c r="F48">
        <v>1</v>
      </c>
    </row>
    <row r="49" spans="1:6" x14ac:dyDescent="0.2">
      <c r="A49" s="5"/>
      <c r="B49" s="3"/>
      <c r="C49" s="23">
        <v>0.71358796296296301</v>
      </c>
      <c r="D49" t="s">
        <v>100</v>
      </c>
      <c r="E49" s="5"/>
    </row>
    <row r="50" spans="1:6" x14ac:dyDescent="0.2">
      <c r="A50" s="5" t="s">
        <v>120</v>
      </c>
      <c r="B50" s="3">
        <v>45156</v>
      </c>
      <c r="C50" s="23">
        <v>0.75527777777777771</v>
      </c>
      <c r="D50" t="s">
        <v>81</v>
      </c>
      <c r="E50" s="5"/>
    </row>
    <row r="51" spans="1:6" x14ac:dyDescent="0.2">
      <c r="A51" s="5"/>
      <c r="B51" s="3"/>
      <c r="C51" s="23">
        <v>0.75585648148148143</v>
      </c>
      <c r="E51" s="5" t="s">
        <v>111</v>
      </c>
      <c r="F51">
        <v>4</v>
      </c>
    </row>
    <row r="52" spans="1:6" x14ac:dyDescent="0.2">
      <c r="C52" s="23">
        <v>0.76282407407407404</v>
      </c>
      <c r="E52" s="5" t="s">
        <v>111</v>
      </c>
      <c r="F52">
        <v>2</v>
      </c>
    </row>
    <row r="53" spans="1:6" x14ac:dyDescent="0.2">
      <c r="B53" s="3"/>
      <c r="C53" s="23">
        <v>0.76738425925925924</v>
      </c>
      <c r="E53" s="5" t="s">
        <v>111</v>
      </c>
      <c r="F53">
        <v>1</v>
      </c>
    </row>
    <row r="54" spans="1:6" x14ac:dyDescent="0.2">
      <c r="B54" s="3"/>
      <c r="C54" s="23">
        <v>0.78542824074074069</v>
      </c>
      <c r="D54" t="s">
        <v>100</v>
      </c>
      <c r="E54" s="5"/>
    </row>
    <row r="55" spans="1:6" x14ac:dyDescent="0.2">
      <c r="A55" s="5" t="s">
        <v>127</v>
      </c>
      <c r="B55" s="3">
        <v>45157</v>
      </c>
      <c r="C55" s="23">
        <v>0.29511574074074071</v>
      </c>
      <c r="D55" t="s">
        <v>81</v>
      </c>
      <c r="E55" s="5"/>
    </row>
    <row r="56" spans="1:6" x14ac:dyDescent="0.2">
      <c r="A56" s="5"/>
      <c r="B56" s="3"/>
      <c r="C56" s="23">
        <v>0.30166666666666669</v>
      </c>
      <c r="E56" s="5" t="s">
        <v>111</v>
      </c>
      <c r="F56">
        <v>1</v>
      </c>
    </row>
    <row r="57" spans="1:6" x14ac:dyDescent="0.2">
      <c r="C57" s="24">
        <v>0.31064814814814817</v>
      </c>
      <c r="E57" s="5" t="s">
        <v>111</v>
      </c>
      <c r="F57">
        <v>1</v>
      </c>
    </row>
    <row r="58" spans="1:6" x14ac:dyDescent="0.2">
      <c r="A58" s="5"/>
      <c r="B58" s="3"/>
      <c r="C58" s="23">
        <v>0.32165509259259256</v>
      </c>
      <c r="D58" t="s">
        <v>100</v>
      </c>
      <c r="E58" s="5"/>
    </row>
    <row r="59" spans="1:6" x14ac:dyDescent="0.2">
      <c r="A59" s="5" t="s">
        <v>125</v>
      </c>
      <c r="B59" s="3">
        <v>45157</v>
      </c>
      <c r="C59" s="23">
        <v>0.35106481481481483</v>
      </c>
      <c r="D59" s="5" t="s">
        <v>81</v>
      </c>
      <c r="E59" s="5" t="s">
        <v>130</v>
      </c>
    </row>
    <row r="60" spans="1:6" x14ac:dyDescent="0.2">
      <c r="A60" s="5"/>
      <c r="B60" s="3"/>
      <c r="C60" s="23">
        <v>0.35137731481481477</v>
      </c>
      <c r="E60" s="5" t="s">
        <v>111</v>
      </c>
      <c r="F60">
        <v>1</v>
      </c>
    </row>
    <row r="61" spans="1:6" x14ac:dyDescent="0.2">
      <c r="A61" s="5"/>
      <c r="B61" s="3"/>
      <c r="C61" s="23">
        <v>0.35157407407407404</v>
      </c>
      <c r="D61" s="5"/>
      <c r="E61" s="5" t="s">
        <v>111</v>
      </c>
      <c r="F61">
        <v>1</v>
      </c>
    </row>
    <row r="62" spans="1:6" x14ac:dyDescent="0.2">
      <c r="C62" s="23">
        <v>0.35207175925925926</v>
      </c>
      <c r="E62" s="5" t="s">
        <v>111</v>
      </c>
      <c r="F62">
        <v>1</v>
      </c>
    </row>
    <row r="63" spans="1:6" x14ac:dyDescent="0.2">
      <c r="C63" s="23">
        <v>0.35395833333333332</v>
      </c>
      <c r="E63" s="5" t="s">
        <v>111</v>
      </c>
      <c r="F63">
        <v>1</v>
      </c>
    </row>
    <row r="64" spans="1:6" x14ac:dyDescent="0.2">
      <c r="A64" s="5"/>
      <c r="B64" s="3"/>
      <c r="C64" s="23">
        <v>0.35561342592592587</v>
      </c>
      <c r="E64" s="5" t="s">
        <v>111</v>
      </c>
      <c r="F64">
        <v>2</v>
      </c>
    </row>
    <row r="65" spans="1:6" x14ac:dyDescent="0.2">
      <c r="A65" s="5"/>
      <c r="B65" s="3"/>
      <c r="C65" s="23">
        <v>0.36153935185185188</v>
      </c>
      <c r="E65" s="5" t="s">
        <v>111</v>
      </c>
      <c r="F65">
        <v>1</v>
      </c>
    </row>
    <row r="66" spans="1:6" x14ac:dyDescent="0.2">
      <c r="C66" s="23">
        <v>0.36324074074074075</v>
      </c>
      <c r="E66" s="5" t="s">
        <v>111</v>
      </c>
      <c r="F66">
        <v>1</v>
      </c>
    </row>
    <row r="67" spans="1:6" x14ac:dyDescent="0.2">
      <c r="C67" s="23">
        <v>0.36324074074074075</v>
      </c>
      <c r="D67" s="5"/>
      <c r="E67" s="5" t="s">
        <v>111</v>
      </c>
      <c r="F67">
        <v>1</v>
      </c>
    </row>
    <row r="68" spans="1:6" x14ac:dyDescent="0.2">
      <c r="B68" s="3"/>
      <c r="C68" s="23">
        <v>0.36569444444444449</v>
      </c>
      <c r="E68" s="5" t="s">
        <v>111</v>
      </c>
      <c r="F68">
        <v>1</v>
      </c>
    </row>
    <row r="69" spans="1:6" x14ac:dyDescent="0.2">
      <c r="A69" s="5"/>
      <c r="B69" s="3"/>
      <c r="C69" s="23">
        <v>0.36798611111111112</v>
      </c>
      <c r="E69" s="5" t="s">
        <v>111</v>
      </c>
      <c r="F69">
        <v>1</v>
      </c>
    </row>
    <row r="70" spans="1:6" x14ac:dyDescent="0.2">
      <c r="C70" s="23">
        <v>0.36869212962962966</v>
      </c>
      <c r="E70" s="5" t="s">
        <v>111</v>
      </c>
      <c r="F70">
        <v>1</v>
      </c>
    </row>
    <row r="71" spans="1:6" x14ac:dyDescent="0.2">
      <c r="A71" s="5"/>
      <c r="B71" s="3"/>
      <c r="C71" s="23">
        <v>0.36922453703703706</v>
      </c>
      <c r="E71" s="5" t="s">
        <v>111</v>
      </c>
      <c r="F71">
        <v>1</v>
      </c>
    </row>
    <row r="72" spans="1:6" x14ac:dyDescent="0.2">
      <c r="A72" s="5"/>
      <c r="B72" s="3"/>
      <c r="C72" s="23">
        <v>0.37140046296296297</v>
      </c>
      <c r="E72" s="5" t="s">
        <v>111</v>
      </c>
      <c r="F72">
        <v>1</v>
      </c>
    </row>
    <row r="73" spans="1:6" x14ac:dyDescent="0.2">
      <c r="C73" s="23">
        <v>0.37256944444444445</v>
      </c>
      <c r="E73" s="5" t="s">
        <v>111</v>
      </c>
      <c r="F73">
        <v>1</v>
      </c>
    </row>
    <row r="74" spans="1:6" x14ac:dyDescent="0.2">
      <c r="B74" s="3"/>
      <c r="C74" s="23">
        <v>0.37298611111111107</v>
      </c>
      <c r="E74" s="5" t="s">
        <v>111</v>
      </c>
      <c r="F74">
        <v>1</v>
      </c>
    </row>
    <row r="75" spans="1:6" x14ac:dyDescent="0.2">
      <c r="C75" s="23">
        <v>0.3740856481481481</v>
      </c>
      <c r="D75" s="5"/>
      <c r="E75" s="5" t="s">
        <v>111</v>
      </c>
      <c r="F75">
        <v>1</v>
      </c>
    </row>
    <row r="76" spans="1:6" x14ac:dyDescent="0.2">
      <c r="A76" s="5"/>
      <c r="B76" s="3"/>
      <c r="C76" s="23">
        <v>0.37493055555555554</v>
      </c>
      <c r="E76" s="5" t="s">
        <v>111</v>
      </c>
      <c r="F76">
        <v>1</v>
      </c>
    </row>
    <row r="77" spans="1:6" x14ac:dyDescent="0.2">
      <c r="A77" s="5"/>
      <c r="B77" s="3"/>
      <c r="C77" s="23">
        <v>0.37564814814814818</v>
      </c>
      <c r="D77" s="5"/>
      <c r="E77" s="5" t="s">
        <v>111</v>
      </c>
      <c r="F77">
        <v>1</v>
      </c>
    </row>
    <row r="78" spans="1:6" x14ac:dyDescent="0.2">
      <c r="C78" s="23">
        <v>0.3770486111111111</v>
      </c>
      <c r="D78" t="s">
        <v>100</v>
      </c>
      <c r="E78" s="5"/>
    </row>
    <row r="79" spans="1:6" x14ac:dyDescent="0.2">
      <c r="A79" s="5" t="s">
        <v>126</v>
      </c>
      <c r="B79" s="3">
        <v>45157</v>
      </c>
      <c r="C79" s="23">
        <v>0.42434027777777777</v>
      </c>
      <c r="D79" t="s">
        <v>81</v>
      </c>
      <c r="E79" s="5"/>
    </row>
    <row r="80" spans="1:6" x14ac:dyDescent="0.2">
      <c r="B80" s="3"/>
      <c r="C80" s="23">
        <v>0.42496527777777776</v>
      </c>
      <c r="E80" s="5" t="s">
        <v>111</v>
      </c>
      <c r="F80">
        <v>1</v>
      </c>
    </row>
    <row r="81" spans="1:6" x14ac:dyDescent="0.2">
      <c r="B81" s="3"/>
      <c r="C81" s="23">
        <v>0.42524305555555553</v>
      </c>
      <c r="E81" s="5" t="s">
        <v>111</v>
      </c>
      <c r="F81">
        <v>1</v>
      </c>
    </row>
    <row r="82" spans="1:6" x14ac:dyDescent="0.2">
      <c r="C82" s="23">
        <v>0.42891203703703701</v>
      </c>
      <c r="E82" s="5" t="s">
        <v>111</v>
      </c>
      <c r="F82">
        <v>1</v>
      </c>
    </row>
    <row r="83" spans="1:6" x14ac:dyDescent="0.2">
      <c r="C83" s="23">
        <v>0.4340046296296296</v>
      </c>
      <c r="E83" s="5" t="s">
        <v>111</v>
      </c>
      <c r="F83">
        <v>1</v>
      </c>
    </row>
    <row r="84" spans="1:6" x14ac:dyDescent="0.2">
      <c r="B84" s="3"/>
      <c r="C84" s="23">
        <v>0.43974537037037037</v>
      </c>
      <c r="E84" s="5" t="s">
        <v>111</v>
      </c>
      <c r="F84">
        <v>1</v>
      </c>
    </row>
    <row r="85" spans="1:6" x14ac:dyDescent="0.2">
      <c r="A85" s="5"/>
      <c r="B85" s="3"/>
      <c r="C85" s="23">
        <v>0.44271990740740735</v>
      </c>
      <c r="E85" s="5" t="s">
        <v>111</v>
      </c>
      <c r="F85">
        <v>1</v>
      </c>
    </row>
    <row r="86" spans="1:6" x14ac:dyDescent="0.2">
      <c r="C86" s="23">
        <v>0.44777777777777777</v>
      </c>
      <c r="E86" s="5" t="s">
        <v>111</v>
      </c>
      <c r="F86">
        <v>1</v>
      </c>
    </row>
    <row r="87" spans="1:6" x14ac:dyDescent="0.2">
      <c r="A87" s="5"/>
      <c r="B87" s="3"/>
      <c r="C87" s="23">
        <v>0.45013888888888887</v>
      </c>
      <c r="D87" t="s">
        <v>100</v>
      </c>
      <c r="E87" s="5"/>
    </row>
    <row r="88" spans="1:6" x14ac:dyDescent="0.2">
      <c r="A88" s="5" t="s">
        <v>132</v>
      </c>
      <c r="B88" s="3">
        <v>45157</v>
      </c>
      <c r="C88" s="23">
        <v>0.47240740740740739</v>
      </c>
      <c r="D88" t="s">
        <v>81</v>
      </c>
      <c r="E88" s="5"/>
    </row>
    <row r="89" spans="1:6" x14ac:dyDescent="0.2">
      <c r="C89" s="23">
        <v>0.47557870370370375</v>
      </c>
      <c r="E89" s="5" t="s">
        <v>111</v>
      </c>
      <c r="F89">
        <v>1</v>
      </c>
    </row>
    <row r="90" spans="1:6" x14ac:dyDescent="0.2">
      <c r="A90" s="5"/>
      <c r="B90" s="3"/>
      <c r="C90" s="23">
        <v>0.47641203703703705</v>
      </c>
      <c r="E90" s="5" t="s">
        <v>111</v>
      </c>
      <c r="F90">
        <v>1</v>
      </c>
    </row>
    <row r="91" spans="1:6" x14ac:dyDescent="0.2">
      <c r="A91" s="5"/>
      <c r="B91" s="3"/>
      <c r="C91" s="23">
        <v>0.47712962962962963</v>
      </c>
      <c r="E91" s="5" t="s">
        <v>111</v>
      </c>
      <c r="F91">
        <v>1</v>
      </c>
    </row>
    <row r="92" spans="1:6" x14ac:dyDescent="0.2">
      <c r="B92" s="3"/>
      <c r="C92" s="23">
        <v>0.48104166666666665</v>
      </c>
      <c r="E92" s="5" t="s">
        <v>111</v>
      </c>
      <c r="F92">
        <v>1</v>
      </c>
    </row>
    <row r="93" spans="1:6" x14ac:dyDescent="0.2">
      <c r="A93" s="5"/>
      <c r="B93" s="3"/>
      <c r="C93" s="23">
        <v>0.48324074074074069</v>
      </c>
      <c r="E93" s="5" t="s">
        <v>111</v>
      </c>
      <c r="F93">
        <v>1</v>
      </c>
    </row>
    <row r="94" spans="1:6" x14ac:dyDescent="0.2">
      <c r="C94" s="23">
        <v>0.48487268518518517</v>
      </c>
      <c r="E94" s="5" t="s">
        <v>111</v>
      </c>
      <c r="F94">
        <v>1</v>
      </c>
    </row>
    <row r="95" spans="1:6" x14ac:dyDescent="0.2">
      <c r="C95" s="23">
        <v>0.48581018518518521</v>
      </c>
      <c r="D95" s="5"/>
      <c r="E95" s="5" t="s">
        <v>111</v>
      </c>
      <c r="F95">
        <v>1</v>
      </c>
    </row>
    <row r="96" spans="1:6" x14ac:dyDescent="0.2">
      <c r="A96" s="5"/>
      <c r="B96" s="3"/>
      <c r="C96" s="23">
        <v>0.48739583333333331</v>
      </c>
      <c r="D96" s="5"/>
      <c r="E96" s="5" t="s">
        <v>111</v>
      </c>
      <c r="F96">
        <v>1</v>
      </c>
    </row>
    <row r="97" spans="1:6" x14ac:dyDescent="0.2">
      <c r="A97" s="5"/>
      <c r="B97" s="3"/>
      <c r="C97" s="23">
        <v>0.49027777777777781</v>
      </c>
      <c r="D97" s="5"/>
      <c r="E97" s="5" t="s">
        <v>111</v>
      </c>
      <c r="F97">
        <v>1</v>
      </c>
    </row>
    <row r="98" spans="1:6" x14ac:dyDescent="0.2">
      <c r="A98" s="5"/>
      <c r="B98" s="3"/>
      <c r="C98" s="23">
        <v>0.49444444444444446</v>
      </c>
      <c r="E98" s="5" t="s">
        <v>111</v>
      </c>
      <c r="F98">
        <v>1</v>
      </c>
    </row>
    <row r="99" spans="1:6" x14ac:dyDescent="0.2">
      <c r="C99" s="23">
        <v>0.497037037037037</v>
      </c>
      <c r="E99" s="5" t="s">
        <v>111</v>
      </c>
      <c r="F99">
        <v>1</v>
      </c>
    </row>
    <row r="100" spans="1:6" x14ac:dyDescent="0.2">
      <c r="A100" s="5"/>
      <c r="B100" s="3"/>
      <c r="C100" s="23">
        <v>0.49760416666666668</v>
      </c>
      <c r="E100" s="5" t="s">
        <v>111</v>
      </c>
      <c r="F100">
        <v>1</v>
      </c>
    </row>
    <row r="101" spans="1:6" x14ac:dyDescent="0.2">
      <c r="C101" s="23">
        <v>0.49899305555555556</v>
      </c>
      <c r="D101" t="s">
        <v>100</v>
      </c>
      <c r="E101" s="5"/>
    </row>
    <row r="102" spans="1:6" x14ac:dyDescent="0.2">
      <c r="A102" s="5" t="s">
        <v>135</v>
      </c>
      <c r="B102" s="3">
        <v>45157</v>
      </c>
      <c r="C102" s="23">
        <v>0.59121527777777783</v>
      </c>
      <c r="D102" t="s">
        <v>81</v>
      </c>
      <c r="E102" s="5" t="s">
        <v>111</v>
      </c>
      <c r="F102">
        <v>1</v>
      </c>
    </row>
    <row r="103" spans="1:6" x14ac:dyDescent="0.2">
      <c r="C103" s="23">
        <v>0.60842592592592593</v>
      </c>
      <c r="E103" s="5" t="s">
        <v>111</v>
      </c>
      <c r="F103">
        <v>1</v>
      </c>
    </row>
    <row r="104" spans="1:6" x14ac:dyDescent="0.2">
      <c r="C104" s="23">
        <v>0.61719907407407404</v>
      </c>
      <c r="E104" s="5"/>
    </row>
    <row r="105" spans="1:6" x14ac:dyDescent="0.2">
      <c r="A105" s="5" t="s">
        <v>138</v>
      </c>
      <c r="B105" s="3">
        <v>45157</v>
      </c>
      <c r="C105" s="23">
        <v>0.64075231481481476</v>
      </c>
      <c r="D105" t="s">
        <v>81</v>
      </c>
      <c r="E105" s="5"/>
    </row>
    <row r="106" spans="1:6" x14ac:dyDescent="0.2">
      <c r="C106" s="23">
        <v>0.64127314814814818</v>
      </c>
      <c r="E106" s="5" t="s">
        <v>111</v>
      </c>
      <c r="F106">
        <v>1</v>
      </c>
    </row>
    <row r="107" spans="1:6" x14ac:dyDescent="0.2">
      <c r="A107" s="5"/>
      <c r="B107" s="3"/>
      <c r="C107" s="23">
        <v>0.64502314814814821</v>
      </c>
      <c r="E107" s="5" t="s">
        <v>111</v>
      </c>
      <c r="F107">
        <v>1</v>
      </c>
    </row>
    <row r="108" spans="1:6" x14ac:dyDescent="0.2">
      <c r="A108" s="5"/>
      <c r="B108" s="3"/>
      <c r="C108" s="23">
        <v>0.64886574074074077</v>
      </c>
      <c r="E108" s="5" t="s">
        <v>111</v>
      </c>
      <c r="F108">
        <v>1</v>
      </c>
    </row>
    <row r="109" spans="1:6" x14ac:dyDescent="0.2">
      <c r="B109" s="3"/>
      <c r="C109" s="23">
        <v>0.65126157407407403</v>
      </c>
      <c r="D109" s="5"/>
      <c r="E109" s="5" t="s">
        <v>111</v>
      </c>
      <c r="F109">
        <v>1</v>
      </c>
    </row>
    <row r="110" spans="1:6" x14ac:dyDescent="0.2">
      <c r="B110" s="3"/>
      <c r="C110" s="23">
        <v>0.65546296296296302</v>
      </c>
      <c r="E110" s="5" t="s">
        <v>111</v>
      </c>
      <c r="F110">
        <v>1</v>
      </c>
    </row>
    <row r="111" spans="1:6" x14ac:dyDescent="0.2">
      <c r="A111" s="5"/>
      <c r="B111" s="3"/>
      <c r="C111" s="23">
        <v>0.65959490740740734</v>
      </c>
      <c r="E111" s="5" t="s">
        <v>111</v>
      </c>
      <c r="F111">
        <v>1</v>
      </c>
    </row>
    <row r="112" spans="1:6" x14ac:dyDescent="0.2">
      <c r="A112" s="5"/>
      <c r="B112" s="3"/>
      <c r="C112" s="23">
        <v>0.66015046296296298</v>
      </c>
      <c r="E112" s="5" t="s">
        <v>111</v>
      </c>
      <c r="F112">
        <v>1</v>
      </c>
    </row>
    <row r="113" spans="1:8" x14ac:dyDescent="0.2">
      <c r="C113" s="23">
        <v>0.66041666666666665</v>
      </c>
      <c r="E113" s="5" t="s">
        <v>111</v>
      </c>
      <c r="F113">
        <v>1</v>
      </c>
    </row>
    <row r="114" spans="1:8" x14ac:dyDescent="0.2">
      <c r="C114" s="23">
        <v>0.66114583333333332</v>
      </c>
      <c r="E114" s="5" t="s">
        <v>111</v>
      </c>
      <c r="F114">
        <v>1</v>
      </c>
    </row>
    <row r="115" spans="1:8" x14ac:dyDescent="0.2">
      <c r="C115" s="23">
        <v>0.6617939814814815</v>
      </c>
      <c r="E115" s="5" t="s">
        <v>111</v>
      </c>
      <c r="F115">
        <v>1</v>
      </c>
    </row>
    <row r="116" spans="1:8" x14ac:dyDescent="0.2">
      <c r="C116" s="23">
        <v>0.66229166666666661</v>
      </c>
      <c r="E116" s="5" t="s">
        <v>111</v>
      </c>
      <c r="F116">
        <v>2</v>
      </c>
    </row>
    <row r="117" spans="1:8" x14ac:dyDescent="0.2">
      <c r="A117" s="5"/>
      <c r="B117" s="3"/>
      <c r="C117" s="23">
        <v>0.66295138888888883</v>
      </c>
      <c r="E117" s="5" t="s">
        <v>111</v>
      </c>
      <c r="F117">
        <v>5</v>
      </c>
    </row>
    <row r="118" spans="1:8" x14ac:dyDescent="0.2">
      <c r="C118" s="23">
        <v>0.66421296296296295</v>
      </c>
      <c r="D118" s="5"/>
      <c r="E118" s="5" t="s">
        <v>111</v>
      </c>
      <c r="F118">
        <v>1</v>
      </c>
    </row>
    <row r="119" spans="1:8" x14ac:dyDescent="0.2">
      <c r="C119" s="23">
        <v>0.66445601851851854</v>
      </c>
      <c r="D119" s="5"/>
      <c r="E119" s="5" t="s">
        <v>111</v>
      </c>
      <c r="F119">
        <v>4</v>
      </c>
    </row>
    <row r="120" spans="1:8" x14ac:dyDescent="0.2">
      <c r="A120" s="5"/>
      <c r="B120" s="3"/>
      <c r="C120" s="23">
        <v>0.66498842592592589</v>
      </c>
      <c r="D120" s="5"/>
      <c r="E120" s="5" t="s">
        <v>111</v>
      </c>
      <c r="F120">
        <v>1</v>
      </c>
    </row>
    <row r="121" spans="1:8" x14ac:dyDescent="0.2">
      <c r="A121" s="5"/>
      <c r="B121" s="3"/>
      <c r="C121" s="23">
        <v>0.66935185185185186</v>
      </c>
      <c r="D121" s="5" t="s">
        <v>100</v>
      </c>
      <c r="E121" s="5"/>
    </row>
    <row r="122" spans="1:8" x14ac:dyDescent="0.2">
      <c r="A122" s="5" t="s">
        <v>140</v>
      </c>
      <c r="B122" s="3">
        <v>45157</v>
      </c>
      <c r="C122" s="23">
        <v>0.67453703703703705</v>
      </c>
      <c r="D122" s="5" t="s">
        <v>81</v>
      </c>
      <c r="E122" s="5"/>
    </row>
    <row r="123" spans="1:8" x14ac:dyDescent="0.2">
      <c r="A123" s="5"/>
      <c r="B123" s="3"/>
      <c r="C123" s="23">
        <v>0.6943287037037037</v>
      </c>
      <c r="E123" s="5" t="s">
        <v>111</v>
      </c>
      <c r="F123">
        <v>2</v>
      </c>
      <c r="G123" s="5"/>
      <c r="H123" s="5"/>
    </row>
    <row r="124" spans="1:8" x14ac:dyDescent="0.2">
      <c r="A124" s="5"/>
      <c r="B124" s="3"/>
      <c r="C124" s="23">
        <v>0.69504629629629633</v>
      </c>
      <c r="D124" s="5" t="s">
        <v>100</v>
      </c>
      <c r="E124" s="5"/>
      <c r="G124" s="5"/>
      <c r="H124" s="5"/>
    </row>
    <row r="125" spans="1:8" x14ac:dyDescent="0.2">
      <c r="A125" s="5" t="s">
        <v>142</v>
      </c>
      <c r="B125" s="3">
        <v>45157</v>
      </c>
      <c r="C125" s="23">
        <v>0.73549768518518521</v>
      </c>
      <c r="D125" s="5" t="s">
        <v>81</v>
      </c>
      <c r="E125" s="5"/>
    </row>
    <row r="126" spans="1:8" x14ac:dyDescent="0.2">
      <c r="C126" s="23">
        <v>0.74263888888888896</v>
      </c>
      <c r="D126" s="5"/>
      <c r="E126" s="5" t="s">
        <v>111</v>
      </c>
      <c r="F126">
        <v>1</v>
      </c>
      <c r="G126" s="5"/>
      <c r="H126" s="5"/>
    </row>
    <row r="127" spans="1:8" x14ac:dyDescent="0.2">
      <c r="A127" s="5"/>
      <c r="B127" s="3"/>
      <c r="C127" s="23">
        <v>0.74565972222222221</v>
      </c>
      <c r="D127" s="5"/>
      <c r="E127" s="5" t="s">
        <v>111</v>
      </c>
      <c r="F127">
        <v>1</v>
      </c>
    </row>
    <row r="128" spans="1:8" x14ac:dyDescent="0.2">
      <c r="A128" s="5"/>
      <c r="B128" s="3"/>
      <c r="C128" s="23">
        <v>0.75059027777777787</v>
      </c>
      <c r="D128" s="5"/>
      <c r="E128" s="5" t="s">
        <v>111</v>
      </c>
      <c r="F128">
        <v>1</v>
      </c>
    </row>
    <row r="129" spans="1:6" x14ac:dyDescent="0.2">
      <c r="C129" s="23">
        <v>0.75090277777777781</v>
      </c>
      <c r="E129" s="5" t="s">
        <v>111</v>
      </c>
      <c r="F129">
        <v>1</v>
      </c>
    </row>
    <row r="130" spans="1:6" x14ac:dyDescent="0.2">
      <c r="A130" s="5"/>
      <c r="B130" s="3"/>
      <c r="C130" s="23">
        <v>0.75302083333333336</v>
      </c>
      <c r="D130" s="5"/>
      <c r="E130" s="5" t="s">
        <v>111</v>
      </c>
      <c r="F130">
        <v>1</v>
      </c>
    </row>
    <row r="131" spans="1:6" x14ac:dyDescent="0.2">
      <c r="C131" s="23">
        <v>0.75708333333333344</v>
      </c>
      <c r="E131" s="5" t="s">
        <v>111</v>
      </c>
      <c r="F131">
        <v>1</v>
      </c>
    </row>
    <row r="132" spans="1:6" x14ac:dyDescent="0.2">
      <c r="C132" s="23">
        <v>0.7621296296296296</v>
      </c>
      <c r="E132" s="5" t="s">
        <v>111</v>
      </c>
      <c r="F132">
        <v>1</v>
      </c>
    </row>
    <row r="133" spans="1:6" x14ac:dyDescent="0.2">
      <c r="B133" s="3"/>
      <c r="C133" s="23">
        <v>0.76353009259259252</v>
      </c>
      <c r="D133" s="5"/>
      <c r="E133" s="5" t="s">
        <v>111</v>
      </c>
      <c r="F133">
        <v>1</v>
      </c>
    </row>
    <row r="134" spans="1:6" x14ac:dyDescent="0.2">
      <c r="C134" s="23">
        <v>0.76489583333333344</v>
      </c>
      <c r="E134" s="5" t="s">
        <v>111</v>
      </c>
      <c r="F134">
        <v>1</v>
      </c>
    </row>
    <row r="135" spans="1:6" x14ac:dyDescent="0.2">
      <c r="A135" s="5"/>
      <c r="B135" s="3"/>
      <c r="C135" s="23">
        <v>0.76524305555555561</v>
      </c>
      <c r="D135" s="5"/>
      <c r="E135" s="5" t="s">
        <v>111</v>
      </c>
      <c r="F135">
        <v>1</v>
      </c>
    </row>
    <row r="136" spans="1:6" x14ac:dyDescent="0.2">
      <c r="C136" s="23">
        <v>0.76581018518518518</v>
      </c>
      <c r="E136" s="5" t="s">
        <v>111</v>
      </c>
      <c r="F136">
        <v>1</v>
      </c>
    </row>
    <row r="137" spans="1:6" x14ac:dyDescent="0.2">
      <c r="B137" s="3"/>
      <c r="C137" s="23">
        <v>0.76694444444444443</v>
      </c>
      <c r="E137" s="5" t="s">
        <v>111</v>
      </c>
      <c r="F137">
        <v>1</v>
      </c>
    </row>
    <row r="138" spans="1:6" x14ac:dyDescent="0.2">
      <c r="C138" s="23">
        <v>0.76760416666666664</v>
      </c>
      <c r="D138" s="5" t="s">
        <v>100</v>
      </c>
      <c r="E138" s="5"/>
    </row>
    <row r="139" spans="1:6" x14ac:dyDescent="0.2">
      <c r="A139" s="5" t="s">
        <v>144</v>
      </c>
      <c r="B139" s="3">
        <v>45157</v>
      </c>
      <c r="C139" s="23">
        <v>0.80200231481481488</v>
      </c>
      <c r="D139" s="5" t="s">
        <v>81</v>
      </c>
      <c r="E139" s="5"/>
    </row>
    <row r="140" spans="1:6" x14ac:dyDescent="0.2">
      <c r="A140" s="5"/>
      <c r="B140" s="3"/>
      <c r="C140" s="23">
        <v>0.80700231481481488</v>
      </c>
      <c r="D140" s="5"/>
      <c r="E140" s="5" t="s">
        <v>145</v>
      </c>
    </row>
    <row r="141" spans="1:6" x14ac:dyDescent="0.2">
      <c r="A141" s="5"/>
      <c r="B141" s="3"/>
      <c r="C141" s="23">
        <v>0.80763888888888891</v>
      </c>
      <c r="D141" s="5"/>
      <c r="E141" s="5" t="s">
        <v>111</v>
      </c>
      <c r="F141">
        <v>1</v>
      </c>
    </row>
    <row r="142" spans="1:6" x14ac:dyDescent="0.2">
      <c r="C142" s="23">
        <v>0.80803240740740734</v>
      </c>
      <c r="D142" s="5"/>
      <c r="E142" s="5" t="s">
        <v>111</v>
      </c>
      <c r="F142">
        <v>1</v>
      </c>
    </row>
    <row r="143" spans="1:6" x14ac:dyDescent="0.2">
      <c r="A143" s="5"/>
      <c r="B143" s="3"/>
      <c r="C143" s="23">
        <v>0.81162037037037038</v>
      </c>
      <c r="D143" s="5"/>
      <c r="E143" s="5" t="s">
        <v>111</v>
      </c>
      <c r="F143">
        <v>1</v>
      </c>
    </row>
    <row r="144" spans="1:6" x14ac:dyDescent="0.2">
      <c r="B144" s="3"/>
      <c r="C144" s="23">
        <v>0.81687500000000002</v>
      </c>
      <c r="E144" s="5" t="s">
        <v>111</v>
      </c>
      <c r="F144">
        <v>1</v>
      </c>
    </row>
    <row r="145" spans="1:6" x14ac:dyDescent="0.2">
      <c r="B145" s="3"/>
      <c r="C145" s="23">
        <v>0.81776620370370379</v>
      </c>
      <c r="E145" s="5" t="s">
        <v>111</v>
      </c>
      <c r="F145">
        <v>1</v>
      </c>
    </row>
    <row r="146" spans="1:6" x14ac:dyDescent="0.2">
      <c r="A146" s="3"/>
      <c r="B146" s="3"/>
      <c r="C146" s="23">
        <v>0.8189467592592593</v>
      </c>
      <c r="D146" s="5"/>
      <c r="E146" s="5" t="s">
        <v>111</v>
      </c>
      <c r="F146">
        <v>1</v>
      </c>
    </row>
    <row r="147" spans="1:6" x14ac:dyDescent="0.2">
      <c r="C147" s="23">
        <v>0.82206018518518509</v>
      </c>
      <c r="E147" s="5" t="s">
        <v>111</v>
      </c>
      <c r="F147">
        <v>1</v>
      </c>
    </row>
    <row r="148" spans="1:6" x14ac:dyDescent="0.2">
      <c r="A148" s="5" t="s">
        <v>146</v>
      </c>
      <c r="B148" s="3">
        <v>45158</v>
      </c>
      <c r="C148" s="23">
        <v>0.29297453703703702</v>
      </c>
      <c r="D148" s="5" t="s">
        <v>81</v>
      </c>
      <c r="E148" s="5"/>
    </row>
    <row r="149" spans="1:6" x14ac:dyDescent="0.2">
      <c r="B149" s="3"/>
      <c r="C149" s="23">
        <v>0.29623842592592592</v>
      </c>
      <c r="E149" s="5" t="s">
        <v>111</v>
      </c>
      <c r="F149">
        <v>1</v>
      </c>
    </row>
    <row r="150" spans="1:6" x14ac:dyDescent="0.2">
      <c r="C150" s="23">
        <v>0.29657407407407405</v>
      </c>
      <c r="D150" s="5"/>
      <c r="E150" s="5" t="s">
        <v>111</v>
      </c>
      <c r="F150">
        <v>2</v>
      </c>
    </row>
    <row r="151" spans="1:6" x14ac:dyDescent="0.2">
      <c r="A151" s="5"/>
      <c r="B151" s="3"/>
      <c r="C151" s="23">
        <v>0.30096064814814816</v>
      </c>
      <c r="E151" s="5" t="s">
        <v>111</v>
      </c>
      <c r="F151">
        <v>1</v>
      </c>
    </row>
    <row r="152" spans="1:6" x14ac:dyDescent="0.2">
      <c r="A152" s="5"/>
      <c r="B152" s="3"/>
      <c r="C152" s="23">
        <v>0.3090162037037037</v>
      </c>
      <c r="D152" s="5" t="s">
        <v>172</v>
      </c>
      <c r="E152" s="5" t="s">
        <v>171</v>
      </c>
    </row>
    <row r="153" spans="1:6" x14ac:dyDescent="0.2">
      <c r="B153" s="3"/>
      <c r="C153" s="23">
        <v>0.31143518518518515</v>
      </c>
      <c r="D153" t="s">
        <v>173</v>
      </c>
      <c r="E153" s="5" t="s">
        <v>148</v>
      </c>
    </row>
    <row r="154" spans="1:6" x14ac:dyDescent="0.2">
      <c r="C154" s="23">
        <v>0.31601851851851853</v>
      </c>
      <c r="D154" s="5"/>
      <c r="E154" s="5" t="s">
        <v>111</v>
      </c>
      <c r="F154">
        <v>1</v>
      </c>
    </row>
    <row r="155" spans="1:6" x14ac:dyDescent="0.2">
      <c r="C155" s="23">
        <v>0.31753472222222223</v>
      </c>
      <c r="D155" s="5"/>
      <c r="E155" s="5" t="s">
        <v>111</v>
      </c>
      <c r="F155">
        <v>1</v>
      </c>
    </row>
    <row r="156" spans="1:6" x14ac:dyDescent="0.2">
      <c r="A156" s="5"/>
      <c r="B156" s="3"/>
      <c r="C156" s="23">
        <v>0.31908564814814816</v>
      </c>
      <c r="D156" s="5" t="s">
        <v>100</v>
      </c>
      <c r="E156" s="5"/>
    </row>
    <row r="157" spans="1:6" x14ac:dyDescent="0.2">
      <c r="A157" s="5" t="s">
        <v>149</v>
      </c>
      <c r="B157" s="3">
        <v>45158</v>
      </c>
      <c r="C157" s="23">
        <v>0.34798611111111111</v>
      </c>
      <c r="D157" s="5" t="s">
        <v>81</v>
      </c>
      <c r="E157" s="5"/>
    </row>
    <row r="158" spans="1:6" x14ac:dyDescent="0.2">
      <c r="A158" s="5"/>
      <c r="B158" s="3"/>
      <c r="C158" s="23">
        <v>0.35479166666666667</v>
      </c>
      <c r="E158" s="5" t="s">
        <v>111</v>
      </c>
      <c r="F158">
        <v>1</v>
      </c>
    </row>
    <row r="159" spans="1:6" x14ac:dyDescent="0.2">
      <c r="B159" s="3"/>
      <c r="C159" s="23">
        <v>0.35760416666666667</v>
      </c>
      <c r="E159" s="5" t="s">
        <v>111</v>
      </c>
      <c r="F159">
        <v>1</v>
      </c>
    </row>
    <row r="160" spans="1:6" x14ac:dyDescent="0.2">
      <c r="A160" s="5"/>
      <c r="B160" s="3"/>
      <c r="C160" s="23">
        <v>0.3598263888888889</v>
      </c>
      <c r="E160" s="5" t="s">
        <v>111</v>
      </c>
      <c r="F160">
        <v>1</v>
      </c>
    </row>
    <row r="161" spans="1:6" x14ac:dyDescent="0.2">
      <c r="C161" s="23">
        <v>0.3654513888888889</v>
      </c>
      <c r="E161" s="5" t="s">
        <v>111</v>
      </c>
      <c r="F161">
        <v>1</v>
      </c>
    </row>
    <row r="162" spans="1:6" x14ac:dyDescent="0.2">
      <c r="A162" s="5"/>
      <c r="B162" s="3"/>
      <c r="C162" s="23">
        <v>0.36582175925925925</v>
      </c>
      <c r="D162" s="5"/>
      <c r="E162" s="5" t="s">
        <v>111</v>
      </c>
      <c r="F162">
        <v>1</v>
      </c>
    </row>
    <row r="163" spans="1:6" x14ac:dyDescent="0.2">
      <c r="C163" s="23">
        <v>0.36737268518518523</v>
      </c>
      <c r="D163" s="5"/>
      <c r="E163" s="5" t="s">
        <v>111</v>
      </c>
      <c r="F163">
        <v>1</v>
      </c>
    </row>
    <row r="164" spans="1:6" x14ac:dyDescent="0.2">
      <c r="C164" s="23">
        <v>0.36785879629629631</v>
      </c>
      <c r="D164" s="5"/>
      <c r="E164" s="5" t="s">
        <v>111</v>
      </c>
      <c r="F164">
        <v>1</v>
      </c>
    </row>
    <row r="165" spans="1:6" x14ac:dyDescent="0.2">
      <c r="C165" s="23">
        <v>0.37064814814814812</v>
      </c>
      <c r="D165" s="5"/>
      <c r="E165" s="5" t="s">
        <v>111</v>
      </c>
      <c r="F165">
        <v>1</v>
      </c>
    </row>
    <row r="166" spans="1:6" x14ac:dyDescent="0.2">
      <c r="A166" s="5"/>
      <c r="B166" s="3"/>
      <c r="C166" s="23">
        <v>0.37103009259259262</v>
      </c>
      <c r="D166" s="5"/>
      <c r="E166" s="5" t="s">
        <v>111</v>
      </c>
      <c r="F166">
        <v>1</v>
      </c>
    </row>
    <row r="167" spans="1:6" x14ac:dyDescent="0.2">
      <c r="A167" s="5"/>
      <c r="B167" s="3"/>
      <c r="C167" s="25">
        <v>0.37179398148148146</v>
      </c>
      <c r="D167" s="5"/>
      <c r="E167" s="5" t="s">
        <v>111</v>
      </c>
      <c r="F167">
        <v>1</v>
      </c>
    </row>
    <row r="168" spans="1:6" x14ac:dyDescent="0.2">
      <c r="B168" s="3"/>
      <c r="C168" s="23">
        <v>0.3742476851851852</v>
      </c>
      <c r="D168" t="s">
        <v>100</v>
      </c>
      <c r="E168" s="5"/>
    </row>
    <row r="169" spans="1:6" x14ac:dyDescent="0.2">
      <c r="A169" s="5" t="s">
        <v>151</v>
      </c>
      <c r="B169" s="3">
        <v>45158</v>
      </c>
      <c r="C169" s="23">
        <v>0.42457175925925927</v>
      </c>
      <c r="D169" t="s">
        <v>81</v>
      </c>
      <c r="E169" s="5"/>
    </row>
    <row r="170" spans="1:6" x14ac:dyDescent="0.2">
      <c r="A170" s="21"/>
      <c r="B170" s="21"/>
      <c r="C170" s="23">
        <v>0.42638888888888887</v>
      </c>
      <c r="D170" s="5"/>
      <c r="E170" s="5" t="s">
        <v>111</v>
      </c>
      <c r="F170">
        <v>1</v>
      </c>
    </row>
    <row r="171" spans="1:6" x14ac:dyDescent="0.2">
      <c r="C171" s="23">
        <v>0.43035879629629631</v>
      </c>
      <c r="D171" t="s">
        <v>100</v>
      </c>
      <c r="E171" s="5" t="s">
        <v>153</v>
      </c>
    </row>
    <row r="172" spans="1:6" x14ac:dyDescent="0.2">
      <c r="A172" s="5" t="s">
        <v>154</v>
      </c>
      <c r="B172" s="3">
        <v>45158</v>
      </c>
      <c r="C172" s="23">
        <v>0.47591435185185182</v>
      </c>
      <c r="D172" t="s">
        <v>81</v>
      </c>
      <c r="E172" s="5"/>
    </row>
    <row r="173" spans="1:6" x14ac:dyDescent="0.2">
      <c r="A173" s="5"/>
      <c r="B173" s="3"/>
      <c r="C173" s="23">
        <v>0.47950231481481481</v>
      </c>
      <c r="D173" s="5"/>
      <c r="E173" s="5" t="s">
        <v>111</v>
      </c>
      <c r="F173">
        <v>2</v>
      </c>
    </row>
    <row r="174" spans="1:6" x14ac:dyDescent="0.2">
      <c r="C174" s="24">
        <v>0.48082175925925924</v>
      </c>
      <c r="E174" s="5" t="s">
        <v>111</v>
      </c>
      <c r="F174">
        <v>1</v>
      </c>
    </row>
    <row r="175" spans="1:6" x14ac:dyDescent="0.2">
      <c r="A175" s="5"/>
      <c r="B175" s="3"/>
      <c r="C175" s="24">
        <v>0.48094907407407406</v>
      </c>
      <c r="D175" s="5"/>
      <c r="E175" s="5" t="s">
        <v>111</v>
      </c>
      <c r="F175">
        <v>1</v>
      </c>
    </row>
    <row r="176" spans="1:6" x14ac:dyDescent="0.2">
      <c r="A176" s="5"/>
      <c r="B176" s="3"/>
      <c r="C176" s="24">
        <v>0.481412037037037</v>
      </c>
      <c r="E176" s="5" t="s">
        <v>111</v>
      </c>
      <c r="F176">
        <v>2</v>
      </c>
    </row>
    <row r="177" spans="1:6" x14ac:dyDescent="0.2">
      <c r="A177" s="5"/>
      <c r="B177" s="3"/>
      <c r="C177" s="23">
        <v>0.48152777777777778</v>
      </c>
      <c r="D177" s="5"/>
      <c r="E177" s="5" t="s">
        <v>111</v>
      </c>
      <c r="F177">
        <v>2</v>
      </c>
    </row>
    <row r="178" spans="1:6" x14ac:dyDescent="0.2">
      <c r="C178" s="23">
        <v>0.48673611111111109</v>
      </c>
      <c r="E178" s="5" t="s">
        <v>111</v>
      </c>
      <c r="F178">
        <v>1</v>
      </c>
    </row>
    <row r="179" spans="1:6" x14ac:dyDescent="0.2">
      <c r="B179" s="3"/>
      <c r="C179" s="23">
        <v>0.48728009259259258</v>
      </c>
      <c r="E179" s="5" t="s">
        <v>111</v>
      </c>
      <c r="F179">
        <v>1</v>
      </c>
    </row>
    <row r="180" spans="1:6" x14ac:dyDescent="0.2">
      <c r="A180" s="5"/>
      <c r="B180" s="3"/>
      <c r="C180" s="23">
        <v>0.48753472222222222</v>
      </c>
      <c r="D180" s="5"/>
      <c r="E180" s="5" t="s">
        <v>111</v>
      </c>
      <c r="F180">
        <v>1</v>
      </c>
    </row>
    <row r="181" spans="1:6" x14ac:dyDescent="0.2">
      <c r="C181" s="23">
        <v>0.48932870370370374</v>
      </c>
      <c r="E181" s="5" t="s">
        <v>111</v>
      </c>
      <c r="F181">
        <v>1</v>
      </c>
    </row>
    <row r="182" spans="1:6" x14ac:dyDescent="0.2">
      <c r="B182" s="3"/>
      <c r="C182" s="23">
        <v>0.4912731481481481</v>
      </c>
      <c r="E182" s="5" t="s">
        <v>111</v>
      </c>
      <c r="F182">
        <v>1</v>
      </c>
    </row>
    <row r="183" spans="1:6" x14ac:dyDescent="0.2">
      <c r="C183" s="23">
        <v>0.49190972222222223</v>
      </c>
      <c r="D183" s="5"/>
      <c r="E183" s="5" t="s">
        <v>111</v>
      </c>
      <c r="F183">
        <v>1</v>
      </c>
    </row>
    <row r="184" spans="1:6" x14ac:dyDescent="0.2">
      <c r="C184" s="23">
        <v>0.49361111111111106</v>
      </c>
      <c r="E184" s="5" t="s">
        <v>111</v>
      </c>
      <c r="F184">
        <v>1</v>
      </c>
    </row>
    <row r="185" spans="1:6" x14ac:dyDescent="0.2">
      <c r="A185" s="5"/>
      <c r="B185" s="3"/>
      <c r="C185" s="23">
        <v>0.49374999999999997</v>
      </c>
      <c r="D185" s="5"/>
      <c r="E185" s="5" t="s">
        <v>111</v>
      </c>
      <c r="F185">
        <v>1</v>
      </c>
    </row>
    <row r="186" spans="1:6" x14ac:dyDescent="0.2">
      <c r="C186" s="23">
        <v>0.49394675925925924</v>
      </c>
      <c r="E186" s="5" t="s">
        <v>111</v>
      </c>
      <c r="F186">
        <v>1</v>
      </c>
    </row>
    <row r="187" spans="1:6" x14ac:dyDescent="0.2">
      <c r="A187" s="5"/>
      <c r="B187" s="3"/>
      <c r="C187" s="23">
        <v>0.49408564814814815</v>
      </c>
      <c r="D187" s="5"/>
      <c r="E187" s="5" t="s">
        <v>111</v>
      </c>
      <c r="F187">
        <v>1</v>
      </c>
    </row>
    <row r="188" spans="1:6" x14ac:dyDescent="0.2">
      <c r="A188" s="3"/>
      <c r="B188" s="3"/>
      <c r="C188" s="23">
        <v>0.4944560185185185</v>
      </c>
      <c r="D188" s="5"/>
      <c r="E188" s="5" t="s">
        <v>111</v>
      </c>
      <c r="F188">
        <v>1</v>
      </c>
    </row>
    <row r="189" spans="1:6" x14ac:dyDescent="0.2">
      <c r="A189" s="5"/>
      <c r="B189" s="3"/>
      <c r="C189" s="23">
        <v>0.49527777777777776</v>
      </c>
      <c r="D189" s="5"/>
      <c r="E189" s="5" t="s">
        <v>111</v>
      </c>
      <c r="F189">
        <v>1</v>
      </c>
    </row>
    <row r="190" spans="1:6" x14ac:dyDescent="0.2">
      <c r="A190" s="5"/>
      <c r="B190" s="3"/>
      <c r="C190" s="23">
        <v>0.49565972222222227</v>
      </c>
      <c r="D190" s="5"/>
      <c r="E190" s="5" t="s">
        <v>111</v>
      </c>
      <c r="F190">
        <v>2</v>
      </c>
    </row>
    <row r="191" spans="1:6" x14ac:dyDescent="0.2">
      <c r="A191" s="5"/>
      <c r="B191" s="3"/>
      <c r="C191" s="23">
        <v>0.49670138888888887</v>
      </c>
      <c r="D191" s="5"/>
      <c r="E191" s="5" t="s">
        <v>111</v>
      </c>
      <c r="F191">
        <v>1</v>
      </c>
    </row>
    <row r="192" spans="1:6" x14ac:dyDescent="0.2">
      <c r="C192" s="23">
        <v>0.49670138888888887</v>
      </c>
      <c r="D192" s="5"/>
      <c r="E192" s="5" t="s">
        <v>111</v>
      </c>
      <c r="F192">
        <v>1</v>
      </c>
    </row>
    <row r="193" spans="1:7" x14ac:dyDescent="0.2">
      <c r="B193" s="3"/>
      <c r="C193" s="23">
        <v>0.4995486111111111</v>
      </c>
      <c r="D193" s="5" t="s">
        <v>100</v>
      </c>
      <c r="E193" s="5"/>
    </row>
    <row r="194" spans="1:7" x14ac:dyDescent="0.2">
      <c r="A194" s="5" t="s">
        <v>157</v>
      </c>
      <c r="B194" s="3">
        <v>45158</v>
      </c>
      <c r="C194" s="23">
        <v>0.53145833333333337</v>
      </c>
      <c r="D194" s="5" t="s">
        <v>81</v>
      </c>
      <c r="E194" s="5"/>
      <c r="G194" s="5"/>
    </row>
    <row r="195" spans="1:7" x14ac:dyDescent="0.2">
      <c r="A195" s="5"/>
      <c r="B195" s="3"/>
      <c r="C195" s="23">
        <v>0.54652777777777783</v>
      </c>
      <c r="D195" s="5"/>
      <c r="E195" s="5" t="s">
        <v>111</v>
      </c>
      <c r="F195">
        <v>1</v>
      </c>
      <c r="G195" s="5"/>
    </row>
    <row r="196" spans="1:7" x14ac:dyDescent="0.2">
      <c r="C196" s="23">
        <v>0.55453703703703705</v>
      </c>
      <c r="D196" t="s">
        <v>100</v>
      </c>
      <c r="E196" s="5"/>
    </row>
    <row r="197" spans="1:7" x14ac:dyDescent="0.2">
      <c r="A197" s="5" t="s">
        <v>159</v>
      </c>
      <c r="B197" s="3">
        <v>45158</v>
      </c>
      <c r="C197" s="25">
        <v>0.65593749999999995</v>
      </c>
      <c r="D197" s="5" t="s">
        <v>81</v>
      </c>
      <c r="E197" s="5" t="s">
        <v>111</v>
      </c>
      <c r="F197">
        <v>1</v>
      </c>
    </row>
    <row r="198" spans="1:7" x14ac:dyDescent="0.2">
      <c r="A198" s="5"/>
      <c r="B198" s="3"/>
      <c r="C198" s="23">
        <v>0.65748842592592593</v>
      </c>
      <c r="D198" s="5"/>
      <c r="E198" s="5" t="s">
        <v>111</v>
      </c>
      <c r="F198">
        <v>1</v>
      </c>
    </row>
    <row r="199" spans="1:7" x14ac:dyDescent="0.2">
      <c r="C199" s="23">
        <v>0.66098379629629633</v>
      </c>
      <c r="D199" s="5"/>
      <c r="E199" s="5" t="s">
        <v>111</v>
      </c>
      <c r="F199">
        <v>1</v>
      </c>
    </row>
    <row r="200" spans="1:7" x14ac:dyDescent="0.2">
      <c r="C200" s="23">
        <v>0.66223379629629631</v>
      </c>
      <c r="D200" s="5"/>
      <c r="E200" s="5" t="s">
        <v>111</v>
      </c>
      <c r="F200">
        <v>1</v>
      </c>
    </row>
    <row r="201" spans="1:7" x14ac:dyDescent="0.2">
      <c r="A201" s="3"/>
      <c r="B201" s="3"/>
      <c r="C201" s="23">
        <v>0.66380787037037037</v>
      </c>
      <c r="E201" s="5" t="s">
        <v>111</v>
      </c>
      <c r="F201">
        <v>1</v>
      </c>
    </row>
    <row r="202" spans="1:7" x14ac:dyDescent="0.2">
      <c r="A202" s="5"/>
      <c r="B202" s="3"/>
      <c r="C202" s="23">
        <v>0.66483796296296294</v>
      </c>
      <c r="D202" s="5"/>
      <c r="E202" s="5" t="s">
        <v>111</v>
      </c>
      <c r="F202">
        <v>1</v>
      </c>
    </row>
    <row r="203" spans="1:7" x14ac:dyDescent="0.2">
      <c r="C203" s="23">
        <v>0.66582175925925924</v>
      </c>
      <c r="E203" s="5" t="s">
        <v>111</v>
      </c>
      <c r="F203">
        <v>1</v>
      </c>
    </row>
    <row r="204" spans="1:7" x14ac:dyDescent="0.2">
      <c r="A204" s="5"/>
      <c r="B204" s="3"/>
      <c r="C204" s="23">
        <v>0.66637731481481477</v>
      </c>
      <c r="D204" s="5"/>
      <c r="E204" s="5" t="s">
        <v>111</v>
      </c>
      <c r="F204">
        <v>1</v>
      </c>
    </row>
    <row r="205" spans="1:7" x14ac:dyDescent="0.2">
      <c r="C205" s="23">
        <v>0.66718749999999993</v>
      </c>
      <c r="D205" s="5"/>
      <c r="E205" s="5" t="s">
        <v>111</v>
      </c>
      <c r="F205">
        <v>1</v>
      </c>
    </row>
    <row r="206" spans="1:7" x14ac:dyDescent="0.2">
      <c r="A206" s="5"/>
      <c r="B206" s="3"/>
      <c r="C206" s="23">
        <v>0.66784722222222215</v>
      </c>
      <c r="D206" s="5"/>
      <c r="E206" s="5" t="s">
        <v>111</v>
      </c>
      <c r="F206">
        <v>2</v>
      </c>
    </row>
    <row r="207" spans="1:7" x14ac:dyDescent="0.2">
      <c r="A207" s="5"/>
      <c r="B207" s="3"/>
      <c r="C207" s="23">
        <v>0.67079861111111105</v>
      </c>
      <c r="D207" s="5"/>
      <c r="E207" s="23" t="s">
        <v>111</v>
      </c>
      <c r="F207">
        <v>1</v>
      </c>
    </row>
    <row r="208" spans="1:7" x14ac:dyDescent="0.2">
      <c r="C208" s="23">
        <v>0.67282407407407396</v>
      </c>
      <c r="E208" s="5" t="s">
        <v>111</v>
      </c>
      <c r="F208">
        <v>1</v>
      </c>
    </row>
    <row r="209" spans="1:6" x14ac:dyDescent="0.2">
      <c r="A209" s="5"/>
      <c r="B209" s="3"/>
      <c r="C209" s="23">
        <v>0.6737037037037038</v>
      </c>
      <c r="D209" s="5"/>
      <c r="E209" s="5" t="s">
        <v>111</v>
      </c>
      <c r="F209">
        <v>1</v>
      </c>
    </row>
    <row r="210" spans="1:6" x14ac:dyDescent="0.2">
      <c r="C210" s="23">
        <v>0.6762731481481481</v>
      </c>
      <c r="D210" s="5" t="s">
        <v>100</v>
      </c>
      <c r="E210" s="5"/>
    </row>
    <row r="211" spans="1:6" x14ac:dyDescent="0.2">
      <c r="A211" s="5" t="s">
        <v>161</v>
      </c>
      <c r="B211" s="3">
        <v>45158</v>
      </c>
      <c r="C211" s="23">
        <v>0.6977430555555556</v>
      </c>
      <c r="D211" t="s">
        <v>81</v>
      </c>
      <c r="E211" s="5"/>
    </row>
    <row r="212" spans="1:6" x14ac:dyDescent="0.2">
      <c r="A212" s="5"/>
      <c r="B212" s="3"/>
      <c r="C212" s="23">
        <v>0.70454861111111111</v>
      </c>
      <c r="D212" s="5"/>
      <c r="E212" s="5" t="s">
        <v>111</v>
      </c>
      <c r="F212">
        <v>2</v>
      </c>
    </row>
    <row r="213" spans="1:6" x14ac:dyDescent="0.2">
      <c r="C213" s="23">
        <v>0.7058564814814815</v>
      </c>
      <c r="D213" s="5"/>
      <c r="E213" s="5" t="s">
        <v>111</v>
      </c>
      <c r="F213">
        <v>2</v>
      </c>
    </row>
    <row r="214" spans="1:6" x14ac:dyDescent="0.2">
      <c r="B214" s="3"/>
      <c r="C214" s="23">
        <v>0.7065393518518519</v>
      </c>
      <c r="E214" s="5" t="s">
        <v>111</v>
      </c>
      <c r="F214">
        <v>1</v>
      </c>
    </row>
    <row r="215" spans="1:6" x14ac:dyDescent="0.2">
      <c r="A215" s="5"/>
      <c r="B215" s="3"/>
      <c r="C215" s="23">
        <v>0.70665509259259263</v>
      </c>
      <c r="D215" s="5"/>
      <c r="E215" s="5" t="s">
        <v>111</v>
      </c>
      <c r="F215">
        <v>1</v>
      </c>
    </row>
    <row r="216" spans="1:6" x14ac:dyDescent="0.2">
      <c r="C216" s="23">
        <v>0.70782407407407411</v>
      </c>
      <c r="D216" s="5"/>
      <c r="E216" s="5" t="s">
        <v>111</v>
      </c>
      <c r="F216">
        <v>1</v>
      </c>
    </row>
    <row r="217" spans="1:6" x14ac:dyDescent="0.2">
      <c r="C217" s="23">
        <v>0.70832175925925922</v>
      </c>
      <c r="D217" s="5"/>
      <c r="E217" s="5" t="s">
        <v>111</v>
      </c>
      <c r="F217">
        <v>1</v>
      </c>
    </row>
    <row r="218" spans="1:6" x14ac:dyDescent="0.2">
      <c r="B218" s="3"/>
      <c r="C218" s="23">
        <v>0.70871527777777776</v>
      </c>
      <c r="D218" s="5"/>
      <c r="E218" s="5" t="s">
        <v>111</v>
      </c>
      <c r="F218">
        <v>1</v>
      </c>
    </row>
    <row r="219" spans="1:6" x14ac:dyDescent="0.2">
      <c r="C219" s="23">
        <v>0.70922453703703703</v>
      </c>
      <c r="E219" s="5" t="s">
        <v>111</v>
      </c>
      <c r="F219">
        <v>1</v>
      </c>
    </row>
    <row r="220" spans="1:6" x14ac:dyDescent="0.2">
      <c r="C220" s="23">
        <v>0.70922453703703703</v>
      </c>
      <c r="D220" s="5"/>
      <c r="E220" s="5" t="s">
        <v>111</v>
      </c>
      <c r="F220">
        <v>1</v>
      </c>
    </row>
    <row r="221" spans="1:6" x14ac:dyDescent="0.2">
      <c r="A221" s="5"/>
      <c r="B221" s="3"/>
      <c r="C221" s="24">
        <v>0.70998842592592604</v>
      </c>
      <c r="E221" s="5" t="s">
        <v>111</v>
      </c>
      <c r="F221">
        <v>1</v>
      </c>
    </row>
    <row r="222" spans="1:6" x14ac:dyDescent="0.2">
      <c r="C222" s="23">
        <v>0.71111111111111114</v>
      </c>
      <c r="E222" s="5" t="s">
        <v>111</v>
      </c>
      <c r="F222">
        <v>1</v>
      </c>
    </row>
    <row r="223" spans="1:6" x14ac:dyDescent="0.2">
      <c r="C223" s="23">
        <v>0.71168981481481486</v>
      </c>
      <c r="D223" s="5"/>
      <c r="E223" s="5" t="s">
        <v>111</v>
      </c>
      <c r="F223">
        <v>1</v>
      </c>
    </row>
    <row r="224" spans="1:6" x14ac:dyDescent="0.2">
      <c r="A224" s="5"/>
      <c r="B224" s="3"/>
      <c r="C224" s="23">
        <v>0.71168981481481486</v>
      </c>
      <c r="D224" s="5"/>
      <c r="E224" s="5" t="s">
        <v>111</v>
      </c>
      <c r="F224">
        <v>1</v>
      </c>
    </row>
    <row r="225" spans="1:6" x14ac:dyDescent="0.2">
      <c r="A225" s="5"/>
      <c r="B225" s="3"/>
      <c r="C225" s="23">
        <v>0.71373842592592596</v>
      </c>
      <c r="D225" s="5"/>
      <c r="E225" s="5" t="s">
        <v>111</v>
      </c>
      <c r="F225">
        <v>1</v>
      </c>
    </row>
    <row r="226" spans="1:6" x14ac:dyDescent="0.2">
      <c r="C226" s="23">
        <v>0.71486111111111106</v>
      </c>
      <c r="E226" s="5" t="s">
        <v>111</v>
      </c>
      <c r="F226">
        <v>1</v>
      </c>
    </row>
    <row r="227" spans="1:6" x14ac:dyDescent="0.2">
      <c r="A227" s="3"/>
      <c r="B227" s="3"/>
      <c r="C227" s="23">
        <v>0.71505787037037039</v>
      </c>
      <c r="E227" s="5" t="s">
        <v>111</v>
      </c>
      <c r="F227">
        <v>1</v>
      </c>
    </row>
    <row r="228" spans="1:6" x14ac:dyDescent="0.2">
      <c r="A228" s="5"/>
      <c r="B228" s="3"/>
      <c r="C228" s="24">
        <v>0.71826388888888892</v>
      </c>
      <c r="E228" s="5" t="s">
        <v>111</v>
      </c>
      <c r="F228">
        <v>1</v>
      </c>
    </row>
    <row r="229" spans="1:6" x14ac:dyDescent="0.2">
      <c r="A229" s="5"/>
      <c r="B229" s="3"/>
      <c r="C229" s="23">
        <v>0.71872685185185192</v>
      </c>
      <c r="D229" s="5"/>
      <c r="E229" s="5" t="s">
        <v>111</v>
      </c>
      <c r="F229">
        <v>1</v>
      </c>
    </row>
    <row r="230" spans="1:6" x14ac:dyDescent="0.2">
      <c r="C230" s="23">
        <v>0.72062500000000007</v>
      </c>
      <c r="D230" t="s">
        <v>100</v>
      </c>
      <c r="E230" s="5"/>
    </row>
    <row r="231" spans="1:6" x14ac:dyDescent="0.2">
      <c r="C231" s="14"/>
      <c r="E231" s="5"/>
    </row>
    <row r="232" spans="1:6" x14ac:dyDescent="0.2">
      <c r="A232" s="5"/>
      <c r="B232" s="3"/>
      <c r="C232" s="4"/>
      <c r="E232" s="5"/>
    </row>
    <row r="233" spans="1:6" x14ac:dyDescent="0.2">
      <c r="C233" s="14"/>
      <c r="E233" s="5"/>
    </row>
    <row r="234" spans="1:6" x14ac:dyDescent="0.2">
      <c r="B234" s="3"/>
      <c r="C234" s="14"/>
      <c r="E234" s="5"/>
    </row>
    <row r="235" spans="1:6" x14ac:dyDescent="0.2">
      <c r="C235" s="14"/>
      <c r="E235" s="5"/>
    </row>
    <row r="236" spans="1:6" x14ac:dyDescent="0.2">
      <c r="C236" s="14"/>
      <c r="D236" s="5"/>
      <c r="E236" s="5"/>
    </row>
    <row r="237" spans="1:6" x14ac:dyDescent="0.2">
      <c r="A237" s="5"/>
      <c r="B237" s="3"/>
      <c r="C237" s="4"/>
      <c r="E237" s="5"/>
    </row>
    <row r="238" spans="1:6" x14ac:dyDescent="0.2">
      <c r="A238" s="5"/>
      <c r="B238" s="3"/>
      <c r="C238" s="14"/>
      <c r="D238" s="5"/>
      <c r="E238" s="5"/>
    </row>
    <row r="239" spans="1:6" x14ac:dyDescent="0.2">
      <c r="C239" s="14"/>
      <c r="E239" s="5"/>
    </row>
    <row r="240" spans="1:6" x14ac:dyDescent="0.2">
      <c r="C240" s="14"/>
      <c r="E240" s="5"/>
    </row>
    <row r="241" spans="1:5" x14ac:dyDescent="0.2">
      <c r="A241" s="5"/>
      <c r="B241" s="3"/>
      <c r="C241" s="4"/>
      <c r="E241" s="5"/>
    </row>
    <row r="242" spans="1:5" x14ac:dyDescent="0.2">
      <c r="B242" s="3"/>
      <c r="C242" s="14"/>
      <c r="D242" s="5"/>
      <c r="E242" s="5"/>
    </row>
    <row r="243" spans="1:5" x14ac:dyDescent="0.2">
      <c r="C243" s="14"/>
      <c r="D243" s="5"/>
      <c r="E243" s="5"/>
    </row>
    <row r="244" spans="1:5" x14ac:dyDescent="0.2">
      <c r="A244" s="5"/>
      <c r="B244" s="3"/>
      <c r="C244" s="14"/>
      <c r="D244" s="5"/>
      <c r="E244" s="5"/>
    </row>
    <row r="245" spans="1:5" x14ac:dyDescent="0.2">
      <c r="A245" s="5"/>
      <c r="B245" s="3"/>
      <c r="C245" s="14"/>
      <c r="D245" s="5"/>
      <c r="E245" s="5"/>
    </row>
    <row r="246" spans="1:5" x14ac:dyDescent="0.2">
      <c r="C246" s="14"/>
      <c r="D246" s="5"/>
      <c r="E246" s="5"/>
    </row>
    <row r="247" spans="1:5" x14ac:dyDescent="0.2">
      <c r="C247" s="14"/>
      <c r="D247" s="5"/>
      <c r="E247" s="5"/>
    </row>
    <row r="248" spans="1:5" x14ac:dyDescent="0.2">
      <c r="C248" s="14"/>
      <c r="E248" s="5"/>
    </row>
    <row r="249" spans="1:5" x14ac:dyDescent="0.2">
      <c r="A249" s="3"/>
      <c r="B249" s="3"/>
      <c r="C249" s="14"/>
      <c r="E249" s="5"/>
    </row>
    <row r="250" spans="1:5" x14ac:dyDescent="0.2">
      <c r="A250" s="5"/>
      <c r="B250" s="3"/>
      <c r="C250" s="4"/>
      <c r="E250" s="5"/>
    </row>
    <row r="251" spans="1:5" x14ac:dyDescent="0.2">
      <c r="C251" s="14"/>
      <c r="E251" s="5"/>
    </row>
    <row r="252" spans="1:5" x14ac:dyDescent="0.2">
      <c r="A252" s="5"/>
      <c r="B252" s="3"/>
      <c r="C252" s="14"/>
      <c r="E252" s="5"/>
    </row>
    <row r="253" spans="1:5" x14ac:dyDescent="0.2">
      <c r="C253" s="14"/>
      <c r="E253" s="5"/>
    </row>
    <row r="254" spans="1:5" x14ac:dyDescent="0.2">
      <c r="C254" s="14"/>
      <c r="E254" s="5"/>
    </row>
    <row r="255" spans="1:5" x14ac:dyDescent="0.2">
      <c r="C255" s="14"/>
      <c r="D255" s="5"/>
      <c r="E255" s="5"/>
    </row>
    <row r="256" spans="1:5" x14ac:dyDescent="0.2">
      <c r="C256" s="14"/>
      <c r="E256" s="5"/>
    </row>
    <row r="257" spans="1:5" x14ac:dyDescent="0.2">
      <c r="A257" s="5"/>
      <c r="B257" s="3"/>
      <c r="C257" s="14"/>
      <c r="D257" s="5"/>
      <c r="E257" s="5"/>
    </row>
    <row r="258" spans="1:5" x14ac:dyDescent="0.2">
      <c r="B258" s="3"/>
      <c r="C258" s="14"/>
      <c r="E258" s="5"/>
    </row>
    <row r="259" spans="1:5" x14ac:dyDescent="0.2">
      <c r="C259" s="14"/>
      <c r="E259" s="5"/>
    </row>
    <row r="260" spans="1:5" x14ac:dyDescent="0.2">
      <c r="C260" s="14"/>
      <c r="D260" s="5"/>
      <c r="E260" s="5"/>
    </row>
    <row r="261" spans="1:5" x14ac:dyDescent="0.2">
      <c r="C261" s="14"/>
      <c r="D261" s="5"/>
      <c r="E261" s="5"/>
    </row>
    <row r="262" spans="1:5" x14ac:dyDescent="0.2">
      <c r="A262" s="5"/>
      <c r="B262" s="3"/>
      <c r="C262" s="4"/>
      <c r="E262" s="5"/>
    </row>
    <row r="263" spans="1:5" x14ac:dyDescent="0.2">
      <c r="C263" s="14"/>
      <c r="E263" s="5"/>
    </row>
    <row r="264" spans="1:5" x14ac:dyDescent="0.2">
      <c r="C264" s="14"/>
      <c r="E264" s="5"/>
    </row>
    <row r="265" spans="1:5" x14ac:dyDescent="0.2">
      <c r="A265" s="5"/>
      <c r="B265" s="3"/>
      <c r="C265" s="14"/>
      <c r="E265" s="5"/>
    </row>
    <row r="266" spans="1:5" x14ac:dyDescent="0.2">
      <c r="B266" s="3"/>
      <c r="C266" s="14"/>
      <c r="E266" s="5"/>
    </row>
    <row r="267" spans="1:5" x14ac:dyDescent="0.2">
      <c r="A267" s="5"/>
      <c r="B267" s="3"/>
      <c r="C267" s="14"/>
      <c r="D267" s="5"/>
      <c r="E267" s="5"/>
    </row>
    <row r="268" spans="1:5" x14ac:dyDescent="0.2">
      <c r="C268" s="14"/>
      <c r="E268" s="5"/>
    </row>
    <row r="269" spans="1:5" x14ac:dyDescent="0.2">
      <c r="C269" s="14"/>
      <c r="E269" s="5"/>
    </row>
    <row r="270" spans="1:5" x14ac:dyDescent="0.2">
      <c r="B270" s="3"/>
      <c r="C270" s="14"/>
      <c r="E270" s="5"/>
    </row>
    <row r="271" spans="1:5" x14ac:dyDescent="0.2">
      <c r="C271" s="14"/>
      <c r="E271" s="5"/>
    </row>
    <row r="272" spans="1:5" x14ac:dyDescent="0.2">
      <c r="C272" s="14"/>
      <c r="E272" s="5"/>
    </row>
    <row r="273" spans="1:5" ht="12" customHeight="1" x14ac:dyDescent="0.2">
      <c r="C273" s="14"/>
      <c r="E273" s="5"/>
    </row>
    <row r="274" spans="1:5" x14ac:dyDescent="0.2">
      <c r="A274" s="3"/>
      <c r="B274" s="3"/>
      <c r="C274" s="14"/>
      <c r="D274" s="5"/>
      <c r="E274" s="5"/>
    </row>
    <row r="275" spans="1:5" x14ac:dyDescent="0.2">
      <c r="C275" s="14"/>
      <c r="E275" s="5"/>
    </row>
    <row r="276" spans="1:5" x14ac:dyDescent="0.2">
      <c r="A276" s="5"/>
      <c r="B276" s="3"/>
      <c r="C276" s="14"/>
      <c r="E276" s="5"/>
    </row>
    <row r="277" spans="1:5" x14ac:dyDescent="0.2">
      <c r="C277" s="14"/>
      <c r="E277" s="5"/>
    </row>
    <row r="278" spans="1:5" x14ac:dyDescent="0.2">
      <c r="B278" s="3"/>
      <c r="C278" s="14"/>
      <c r="E278" s="5"/>
    </row>
    <row r="279" spans="1:5" x14ac:dyDescent="0.2">
      <c r="C279" s="14"/>
      <c r="E279" s="5"/>
    </row>
    <row r="280" spans="1:5" x14ac:dyDescent="0.2">
      <c r="B280" s="3"/>
      <c r="C280" s="14"/>
      <c r="E280" s="5"/>
    </row>
    <row r="281" spans="1:5" x14ac:dyDescent="0.2">
      <c r="C281" s="14"/>
      <c r="D281" s="5"/>
      <c r="E281" s="5"/>
    </row>
    <row r="282" spans="1:5" x14ac:dyDescent="0.2">
      <c r="C282" s="14"/>
      <c r="D282" s="5"/>
      <c r="E282" s="5"/>
    </row>
    <row r="283" spans="1:5" x14ac:dyDescent="0.2">
      <c r="A283" s="5"/>
      <c r="B283" s="3"/>
      <c r="C283" s="14"/>
      <c r="D283" s="5"/>
      <c r="E283" s="5"/>
    </row>
    <row r="284" spans="1:5" x14ac:dyDescent="0.2">
      <c r="A284" s="5"/>
      <c r="B284" s="3"/>
      <c r="C284" s="4"/>
      <c r="E284" s="5"/>
    </row>
    <row r="285" spans="1:5" x14ac:dyDescent="0.2">
      <c r="B285" s="3"/>
      <c r="C285" s="14"/>
      <c r="E285" s="5"/>
    </row>
    <row r="286" spans="1:5" x14ac:dyDescent="0.2">
      <c r="C286" s="14"/>
      <c r="E286" s="5"/>
    </row>
    <row r="287" spans="1:5" x14ac:dyDescent="0.2">
      <c r="C287" s="14"/>
      <c r="E287" s="5"/>
    </row>
    <row r="288" spans="1:5" x14ac:dyDescent="0.2">
      <c r="C288" s="14"/>
      <c r="E288" s="5"/>
    </row>
    <row r="289" spans="1:5" x14ac:dyDescent="0.2">
      <c r="A289" s="5"/>
      <c r="B289" s="3"/>
      <c r="C289" s="4"/>
      <c r="E289" s="5"/>
    </row>
    <row r="290" spans="1:5" x14ac:dyDescent="0.2">
      <c r="A290" s="5"/>
      <c r="B290" s="3"/>
      <c r="C290" s="14"/>
      <c r="D290" s="5"/>
      <c r="E290" s="5"/>
    </row>
    <row r="291" spans="1:5" x14ac:dyDescent="0.2">
      <c r="C291" s="14"/>
      <c r="E291" s="5"/>
    </row>
    <row r="292" spans="1:5" x14ac:dyDescent="0.2">
      <c r="C292" s="14"/>
      <c r="E292" s="5"/>
    </row>
    <row r="293" spans="1:5" x14ac:dyDescent="0.2">
      <c r="C293" s="14"/>
      <c r="E293" s="5"/>
    </row>
    <row r="294" spans="1:5" x14ac:dyDescent="0.2">
      <c r="B294" s="3"/>
      <c r="C294" s="14"/>
      <c r="D294" s="5"/>
      <c r="E294" s="5"/>
    </row>
    <row r="295" spans="1:5" x14ac:dyDescent="0.2">
      <c r="C295" s="14"/>
      <c r="E295" s="5"/>
    </row>
    <row r="296" spans="1:5" x14ac:dyDescent="0.2">
      <c r="A296" s="5"/>
      <c r="B296" s="3"/>
      <c r="C296" s="14"/>
      <c r="E296" s="5"/>
    </row>
    <row r="297" spans="1:5" x14ac:dyDescent="0.2">
      <c r="C297" s="14"/>
      <c r="E297" s="5"/>
    </row>
    <row r="298" spans="1:5" x14ac:dyDescent="0.2">
      <c r="C298" s="14"/>
      <c r="E298" s="5"/>
    </row>
    <row r="299" spans="1:5" x14ac:dyDescent="0.2">
      <c r="A299" s="3"/>
      <c r="B299" s="3"/>
      <c r="C299" s="14"/>
      <c r="E299" s="5"/>
    </row>
    <row r="300" spans="1:5" x14ac:dyDescent="0.2">
      <c r="A300" s="5"/>
      <c r="B300" s="3"/>
      <c r="C300" s="4"/>
      <c r="E300" s="5"/>
    </row>
    <row r="301" spans="1:5" x14ac:dyDescent="0.2">
      <c r="C301" s="14"/>
      <c r="E301" s="5"/>
    </row>
    <row r="302" spans="1:5" x14ac:dyDescent="0.2">
      <c r="A302" s="5"/>
      <c r="B302" s="3"/>
      <c r="C302" s="14"/>
      <c r="E302" s="5"/>
    </row>
    <row r="303" spans="1:5" x14ac:dyDescent="0.2">
      <c r="B303" s="3"/>
      <c r="C303" s="14"/>
      <c r="E303" s="5"/>
    </row>
    <row r="304" spans="1:5" x14ac:dyDescent="0.2">
      <c r="C304" s="14"/>
      <c r="D304" s="5"/>
      <c r="E304" s="5"/>
    </row>
    <row r="305" spans="1:5" x14ac:dyDescent="0.2">
      <c r="C305" s="14"/>
      <c r="E305" s="5"/>
    </row>
    <row r="306" spans="1:5" x14ac:dyDescent="0.2">
      <c r="A306" s="5"/>
      <c r="B306" s="3"/>
      <c r="C306" s="14"/>
      <c r="D306" s="5"/>
      <c r="E306" s="5"/>
    </row>
    <row r="307" spans="1:5" x14ac:dyDescent="0.2">
      <c r="C307" s="14"/>
      <c r="D307" s="5"/>
      <c r="E307" s="5"/>
    </row>
    <row r="308" spans="1:5" x14ac:dyDescent="0.2">
      <c r="C308" s="14"/>
      <c r="E308" s="5"/>
    </row>
    <row r="309" spans="1:5" x14ac:dyDescent="0.2">
      <c r="A309" s="5"/>
      <c r="B309" s="3"/>
      <c r="C309" s="14"/>
      <c r="D309" s="5"/>
      <c r="E309" s="5"/>
    </row>
    <row r="310" spans="1:5" x14ac:dyDescent="0.2">
      <c r="C310" s="14"/>
      <c r="E310" s="5"/>
    </row>
    <row r="311" spans="1:5" x14ac:dyDescent="0.2">
      <c r="C311" s="14"/>
      <c r="E311" s="5"/>
    </row>
    <row r="312" spans="1:5" x14ac:dyDescent="0.2">
      <c r="C312" s="14"/>
      <c r="E312" s="5"/>
    </row>
    <row r="313" spans="1:5" x14ac:dyDescent="0.2">
      <c r="B313" s="3"/>
      <c r="E313" s="5"/>
    </row>
    <row r="314" spans="1:5" x14ac:dyDescent="0.2">
      <c r="B314" s="3"/>
      <c r="C314" s="14"/>
      <c r="E314" s="5"/>
    </row>
    <row r="315" spans="1:5" x14ac:dyDescent="0.2">
      <c r="C315" s="14"/>
      <c r="E315" s="5"/>
    </row>
    <row r="316" spans="1:5" x14ac:dyDescent="0.2">
      <c r="C316" s="14"/>
      <c r="E316" s="5"/>
    </row>
    <row r="317" spans="1:5" x14ac:dyDescent="0.2">
      <c r="C317" s="14"/>
      <c r="E317" s="5"/>
    </row>
    <row r="318" spans="1:5" x14ac:dyDescent="0.2">
      <c r="B318" s="3"/>
      <c r="C318" s="14"/>
      <c r="D318" s="5"/>
      <c r="E318" s="5"/>
    </row>
    <row r="319" spans="1:5" x14ac:dyDescent="0.2">
      <c r="C319" s="14"/>
      <c r="E319" s="5"/>
    </row>
    <row r="320" spans="1:5" x14ac:dyDescent="0.2">
      <c r="A320" s="5"/>
      <c r="B320" s="3"/>
      <c r="C320" s="4"/>
      <c r="E320" s="5"/>
    </row>
    <row r="321" spans="1:5" x14ac:dyDescent="0.2">
      <c r="A321" s="5"/>
      <c r="B321" s="3"/>
      <c r="C321" s="14"/>
      <c r="D321" s="5"/>
      <c r="E321" s="5"/>
    </row>
    <row r="322" spans="1:5" x14ac:dyDescent="0.2">
      <c r="C322" s="14"/>
      <c r="E322" s="5"/>
    </row>
    <row r="323" spans="1:5" x14ac:dyDescent="0.2">
      <c r="B323" s="3"/>
      <c r="C323" s="14"/>
      <c r="E323" s="5"/>
    </row>
    <row r="324" spans="1:5" x14ac:dyDescent="0.2">
      <c r="C324" s="14"/>
      <c r="E324" s="5"/>
    </row>
    <row r="325" spans="1:5" x14ac:dyDescent="0.2">
      <c r="B325" s="3"/>
      <c r="C325" s="14"/>
      <c r="E325" s="5"/>
    </row>
    <row r="326" spans="1:5" x14ac:dyDescent="0.2">
      <c r="B326" s="3"/>
      <c r="C326" s="14"/>
      <c r="E326" s="5"/>
    </row>
    <row r="327" spans="1:5" x14ac:dyDescent="0.2">
      <c r="B327" s="3"/>
      <c r="C327" s="14"/>
      <c r="E327" s="5"/>
    </row>
    <row r="328" spans="1:5" x14ac:dyDescent="0.2">
      <c r="C328" s="14"/>
      <c r="E328" s="5"/>
    </row>
    <row r="329" spans="1:5" x14ac:dyDescent="0.2">
      <c r="B329" s="3"/>
      <c r="C329" s="14"/>
      <c r="E329" s="5"/>
    </row>
    <row r="330" spans="1:5" x14ac:dyDescent="0.2">
      <c r="B330" s="3"/>
      <c r="C330" s="14"/>
      <c r="D330" s="5"/>
      <c r="E330" s="5"/>
    </row>
    <row r="331" spans="1:5" x14ac:dyDescent="0.2">
      <c r="C331" s="14"/>
      <c r="E331" s="5"/>
    </row>
    <row r="332" spans="1:5" x14ac:dyDescent="0.2">
      <c r="A332" s="5"/>
      <c r="B332" s="3"/>
      <c r="C332" s="14"/>
      <c r="D332" s="5"/>
      <c r="E332" s="5"/>
    </row>
    <row r="333" spans="1:5" x14ac:dyDescent="0.2">
      <c r="C333" s="14"/>
      <c r="E333" s="5"/>
    </row>
    <row r="334" spans="1:5" x14ac:dyDescent="0.2">
      <c r="C334" s="14"/>
      <c r="D334" s="5"/>
      <c r="E334" s="14"/>
    </row>
    <row r="335" spans="1:5" x14ac:dyDescent="0.2">
      <c r="C335" s="14"/>
      <c r="E335" s="5"/>
    </row>
    <row r="336" spans="1:5" x14ac:dyDescent="0.2">
      <c r="A336" s="5"/>
      <c r="B336" s="3"/>
      <c r="C336" s="14"/>
      <c r="D336" s="5"/>
      <c r="E336" s="5"/>
    </row>
    <row r="337" spans="1:5" x14ac:dyDescent="0.2">
      <c r="C337" s="14"/>
      <c r="E337" s="5"/>
    </row>
    <row r="338" spans="1:5" x14ac:dyDescent="0.2">
      <c r="A338" s="5"/>
      <c r="B338" s="3"/>
      <c r="C338" s="14"/>
      <c r="D338" s="5"/>
      <c r="E338" s="5"/>
    </row>
    <row r="339" spans="1:5" x14ac:dyDescent="0.2">
      <c r="A339" s="5"/>
      <c r="B339" s="3"/>
      <c r="C339" s="14"/>
      <c r="E339" s="5"/>
    </row>
    <row r="340" spans="1:5" x14ac:dyDescent="0.2">
      <c r="B340" s="3"/>
      <c r="C340" s="14"/>
      <c r="E340" s="5"/>
    </row>
    <row r="341" spans="1:5" x14ac:dyDescent="0.2">
      <c r="C341" s="14"/>
      <c r="E341" s="5"/>
    </row>
    <row r="342" spans="1:5" x14ac:dyDescent="0.2">
      <c r="B342" s="3"/>
      <c r="C342" s="14"/>
      <c r="E342" s="5"/>
    </row>
    <row r="343" spans="1:5" x14ac:dyDescent="0.2">
      <c r="C343" s="14"/>
      <c r="E343" s="5"/>
    </row>
    <row r="344" spans="1:5" x14ac:dyDescent="0.2">
      <c r="C344" s="14"/>
      <c r="E344" s="5"/>
    </row>
    <row r="345" spans="1:5" x14ac:dyDescent="0.2">
      <c r="A345" s="5"/>
      <c r="B345" s="3"/>
      <c r="C345" s="14"/>
      <c r="D345" s="5"/>
      <c r="E345" s="5"/>
    </row>
    <row r="346" spans="1:5" x14ac:dyDescent="0.2">
      <c r="C346" s="14"/>
      <c r="E346" s="5"/>
    </row>
    <row r="347" spans="1:5" x14ac:dyDescent="0.2">
      <c r="C347" s="14"/>
      <c r="E347" s="5"/>
    </row>
    <row r="348" spans="1:5" x14ac:dyDescent="0.2">
      <c r="C348" s="14"/>
      <c r="E348" s="5"/>
    </row>
    <row r="349" spans="1:5" x14ac:dyDescent="0.2">
      <c r="C349" s="14"/>
      <c r="E349" s="5"/>
    </row>
    <row r="350" spans="1:5" x14ac:dyDescent="0.2">
      <c r="C350" s="14"/>
      <c r="D350" s="5"/>
      <c r="E350" s="5"/>
    </row>
    <row r="351" spans="1:5" x14ac:dyDescent="0.2">
      <c r="C351" s="14"/>
      <c r="E351" s="5"/>
    </row>
    <row r="352" spans="1:5" x14ac:dyDescent="0.2">
      <c r="A352" s="5"/>
      <c r="B352" s="3"/>
      <c r="C352" s="14"/>
      <c r="D352" s="5"/>
      <c r="E352" s="5"/>
    </row>
    <row r="353" spans="1:5" x14ac:dyDescent="0.2">
      <c r="C353" s="14"/>
      <c r="E353" s="5"/>
    </row>
    <row r="354" spans="1:5" x14ac:dyDescent="0.2">
      <c r="C354" s="14"/>
      <c r="D354" s="5"/>
      <c r="E354" s="5"/>
    </row>
    <row r="355" spans="1:5" x14ac:dyDescent="0.2">
      <c r="C355" s="14"/>
      <c r="E355" s="5"/>
    </row>
    <row r="356" spans="1:5" x14ac:dyDescent="0.2">
      <c r="A356" s="5"/>
      <c r="B356" s="3"/>
      <c r="C356" s="14"/>
      <c r="D356" s="5"/>
      <c r="E356" s="5"/>
    </row>
    <row r="357" spans="1:5" x14ac:dyDescent="0.2">
      <c r="B357" s="3"/>
      <c r="C357" s="14"/>
      <c r="E357" s="5"/>
    </row>
    <row r="358" spans="1:5" x14ac:dyDescent="0.2">
      <c r="C358" s="5"/>
      <c r="E358" s="5"/>
    </row>
    <row r="359" spans="1:5" x14ac:dyDescent="0.2">
      <c r="C359" s="14"/>
      <c r="D359" s="5"/>
      <c r="E359" s="5"/>
    </row>
    <row r="360" spans="1:5" x14ac:dyDescent="0.2">
      <c r="C360" s="14"/>
      <c r="E360" s="5"/>
    </row>
    <row r="361" spans="1:5" x14ac:dyDescent="0.2">
      <c r="A361" s="21"/>
      <c r="B361" s="21"/>
      <c r="C361" s="4"/>
      <c r="E361" s="5"/>
    </row>
    <row r="362" spans="1:5" x14ac:dyDescent="0.2">
      <c r="C362" s="14"/>
      <c r="E362" s="5"/>
    </row>
    <row r="363" spans="1:5" x14ac:dyDescent="0.2">
      <c r="C363" s="14"/>
      <c r="E363" s="5"/>
    </row>
    <row r="364" spans="1:5" x14ac:dyDescent="0.2">
      <c r="C364" s="14"/>
      <c r="E364" s="5"/>
    </row>
    <row r="365" spans="1:5" x14ac:dyDescent="0.2">
      <c r="C365" s="14"/>
      <c r="D365" s="5"/>
      <c r="E365" s="5"/>
    </row>
    <row r="366" spans="1:5" x14ac:dyDescent="0.2">
      <c r="C366" s="14"/>
      <c r="E366" s="5"/>
    </row>
    <row r="367" spans="1:5" x14ac:dyDescent="0.2">
      <c r="A367" s="5"/>
      <c r="B367" s="3"/>
      <c r="C367" s="14"/>
      <c r="D367" s="5"/>
      <c r="E367" s="5"/>
    </row>
    <row r="368" spans="1:5" x14ac:dyDescent="0.2">
      <c r="C368" s="14"/>
      <c r="E368" s="5"/>
    </row>
    <row r="369" spans="1:5" x14ac:dyDescent="0.2">
      <c r="A369" s="5"/>
      <c r="B369" s="3"/>
      <c r="C369" s="14"/>
      <c r="D369" s="5"/>
      <c r="E369" s="5"/>
    </row>
    <row r="370" spans="1:5" x14ac:dyDescent="0.2">
      <c r="C370" s="14"/>
      <c r="E370" s="5"/>
    </row>
    <row r="371" spans="1:5" x14ac:dyDescent="0.2">
      <c r="C371" s="14"/>
      <c r="E371" s="5"/>
    </row>
    <row r="372" spans="1:5" x14ac:dyDescent="0.2">
      <c r="C372" s="14"/>
      <c r="D372" s="5"/>
      <c r="E372" s="5"/>
    </row>
    <row r="373" spans="1:5" x14ac:dyDescent="0.2">
      <c r="C373" s="14"/>
      <c r="E373" s="5"/>
    </row>
    <row r="374" spans="1:5" x14ac:dyDescent="0.2">
      <c r="A374" s="5"/>
      <c r="B374" s="3"/>
      <c r="C374" s="14"/>
      <c r="D374" s="5"/>
      <c r="E374" s="5"/>
    </row>
    <row r="375" spans="1:5" x14ac:dyDescent="0.2">
      <c r="C375" s="14"/>
      <c r="E375" s="5"/>
    </row>
    <row r="376" spans="1:5" x14ac:dyDescent="0.2">
      <c r="C376" s="14"/>
      <c r="D376" s="5"/>
      <c r="E376" s="5"/>
    </row>
    <row r="377" spans="1:5" x14ac:dyDescent="0.2">
      <c r="C377" s="14"/>
      <c r="E377" s="5"/>
    </row>
    <row r="378" spans="1:5" x14ac:dyDescent="0.2">
      <c r="A378" s="5"/>
      <c r="B378" s="3"/>
      <c r="C378" s="14"/>
      <c r="D378" s="5"/>
      <c r="E378" s="5"/>
    </row>
    <row r="379" spans="1:5" x14ac:dyDescent="0.2">
      <c r="C379" s="14"/>
      <c r="E379" s="5"/>
    </row>
    <row r="380" spans="1:5" x14ac:dyDescent="0.2">
      <c r="C380" s="14"/>
      <c r="E380" s="5"/>
    </row>
    <row r="381" spans="1:5" x14ac:dyDescent="0.2">
      <c r="C381" s="14"/>
      <c r="E381" s="5"/>
    </row>
    <row r="382" spans="1:5" x14ac:dyDescent="0.2">
      <c r="C382" s="14"/>
      <c r="E382" s="5"/>
    </row>
    <row r="383" spans="1:5" x14ac:dyDescent="0.2">
      <c r="C383" s="14"/>
      <c r="D383" s="5"/>
      <c r="E383" s="5"/>
    </row>
    <row r="384" spans="1:5" x14ac:dyDescent="0.2">
      <c r="C384" s="14"/>
      <c r="D384" s="5"/>
      <c r="E384" s="5"/>
    </row>
    <row r="385" spans="1:5" x14ac:dyDescent="0.2">
      <c r="C385" s="14"/>
      <c r="E385" s="5"/>
    </row>
    <row r="386" spans="1:5" x14ac:dyDescent="0.2">
      <c r="A386" s="5"/>
      <c r="B386" s="3"/>
      <c r="C386" s="14"/>
      <c r="D386" s="5"/>
      <c r="E386" s="5"/>
    </row>
    <row r="387" spans="1:5" x14ac:dyDescent="0.2">
      <c r="A387" s="3"/>
      <c r="B387" s="3"/>
      <c r="C387" s="14"/>
      <c r="E387" s="5"/>
    </row>
    <row r="388" spans="1:5" x14ac:dyDescent="0.2">
      <c r="C388" s="14"/>
      <c r="E388" s="5"/>
    </row>
    <row r="389" spans="1:5" x14ac:dyDescent="0.2">
      <c r="C389" s="14"/>
      <c r="E389" s="5"/>
    </row>
    <row r="390" spans="1:5" x14ac:dyDescent="0.2">
      <c r="C390" s="14"/>
      <c r="E390" s="5"/>
    </row>
    <row r="391" spans="1:5" x14ac:dyDescent="0.2">
      <c r="C391" s="14"/>
      <c r="E391" s="5"/>
    </row>
    <row r="392" spans="1:5" x14ac:dyDescent="0.2">
      <c r="C392" s="14"/>
      <c r="E392" s="5"/>
    </row>
    <row r="393" spans="1:5" x14ac:dyDescent="0.2">
      <c r="C393" s="14"/>
      <c r="E393" s="5"/>
    </row>
    <row r="394" spans="1:5" x14ac:dyDescent="0.2">
      <c r="C394" s="14"/>
      <c r="D394" s="5"/>
      <c r="E394" s="5"/>
    </row>
    <row r="395" spans="1:5" x14ac:dyDescent="0.2">
      <c r="C395" s="14"/>
      <c r="E395" s="5"/>
    </row>
    <row r="396" spans="1:5" x14ac:dyDescent="0.2">
      <c r="A396" s="5"/>
      <c r="B396" s="3"/>
      <c r="C396" s="14"/>
      <c r="D396" s="5"/>
      <c r="E396" s="5"/>
    </row>
    <row r="397" spans="1:5" x14ac:dyDescent="0.2">
      <c r="C397" s="14"/>
      <c r="E397" s="5"/>
    </row>
    <row r="398" spans="1:5" x14ac:dyDescent="0.2">
      <c r="B398" s="3"/>
      <c r="C398" s="14"/>
      <c r="D398" s="5"/>
      <c r="E398" s="5"/>
    </row>
    <row r="399" spans="1:5" x14ac:dyDescent="0.2">
      <c r="C399" s="14"/>
      <c r="E399" s="5"/>
    </row>
    <row r="400" spans="1:5" x14ac:dyDescent="0.2">
      <c r="C400" s="14"/>
      <c r="E400" s="5"/>
    </row>
    <row r="401" spans="1:5" x14ac:dyDescent="0.2">
      <c r="B401" s="3"/>
      <c r="C401" s="14"/>
      <c r="E401" s="5"/>
    </row>
    <row r="402" spans="1:5" x14ac:dyDescent="0.2">
      <c r="B402" s="3"/>
      <c r="C402" s="14"/>
      <c r="E402" s="5"/>
    </row>
    <row r="403" spans="1:5" x14ac:dyDescent="0.2">
      <c r="C403" s="14"/>
      <c r="E403" s="5"/>
    </row>
    <row r="404" spans="1:5" x14ac:dyDescent="0.2">
      <c r="C404" s="14"/>
      <c r="D404" s="5"/>
      <c r="E404" s="5"/>
    </row>
    <row r="405" spans="1:5" x14ac:dyDescent="0.2">
      <c r="B405" s="3"/>
      <c r="C405" s="5"/>
      <c r="E405" s="5"/>
    </row>
    <row r="406" spans="1:5" x14ac:dyDescent="0.2">
      <c r="A406" s="5"/>
      <c r="B406" s="3"/>
      <c r="C406" s="14"/>
      <c r="D406" s="5"/>
      <c r="E406" s="5"/>
    </row>
    <row r="407" spans="1:5" x14ac:dyDescent="0.2">
      <c r="C407" s="14"/>
      <c r="E407" s="5"/>
    </row>
    <row r="408" spans="1:5" x14ac:dyDescent="0.2">
      <c r="C408" s="14"/>
      <c r="E408" s="5"/>
    </row>
    <row r="409" spans="1:5" x14ac:dyDescent="0.2">
      <c r="B409" s="3"/>
      <c r="C409" s="14"/>
      <c r="D409" s="5"/>
      <c r="E409" s="5"/>
    </row>
    <row r="410" spans="1:5" x14ac:dyDescent="0.2">
      <c r="C410" s="14"/>
      <c r="E410" s="5"/>
    </row>
    <row r="411" spans="1:5" x14ac:dyDescent="0.2">
      <c r="A411" s="5"/>
      <c r="B411" s="3"/>
      <c r="C411" s="14"/>
      <c r="D411" s="5"/>
      <c r="E411" s="5"/>
    </row>
    <row r="412" spans="1:5" x14ac:dyDescent="0.2">
      <c r="C412" s="14"/>
      <c r="E412" s="5"/>
    </row>
    <row r="413" spans="1:5" x14ac:dyDescent="0.2">
      <c r="C413" s="14"/>
      <c r="E413" s="5"/>
    </row>
    <row r="414" spans="1:5" x14ac:dyDescent="0.2">
      <c r="C414" s="14"/>
      <c r="E414" s="5"/>
    </row>
    <row r="415" spans="1:5" x14ac:dyDescent="0.2">
      <c r="C415" s="14"/>
      <c r="E415" s="5"/>
    </row>
    <row r="416" spans="1:5" x14ac:dyDescent="0.2">
      <c r="C416" s="14"/>
      <c r="E416" s="5"/>
    </row>
    <row r="417" spans="1:5" x14ac:dyDescent="0.2">
      <c r="B417" s="3"/>
      <c r="C417" s="14"/>
      <c r="E417" s="5"/>
    </row>
    <row r="418" spans="1:5" x14ac:dyDescent="0.2">
      <c r="C418" s="14"/>
      <c r="D418" s="5"/>
      <c r="E418" s="5"/>
    </row>
    <row r="419" spans="1:5" x14ac:dyDescent="0.2">
      <c r="B419" s="3"/>
      <c r="C419" s="14"/>
      <c r="E419" s="5"/>
    </row>
    <row r="420" spans="1:5" x14ac:dyDescent="0.2">
      <c r="A420" s="5"/>
      <c r="B420" s="3"/>
      <c r="C420" s="14"/>
      <c r="D420" s="5"/>
      <c r="E420" s="5"/>
    </row>
    <row r="421" spans="1:5" x14ac:dyDescent="0.2">
      <c r="C421" s="14"/>
      <c r="E421" s="5"/>
    </row>
    <row r="422" spans="1:5" x14ac:dyDescent="0.2">
      <c r="C422" s="14"/>
      <c r="E422" s="5"/>
    </row>
    <row r="423" spans="1:5" x14ac:dyDescent="0.2">
      <c r="C423" s="14"/>
      <c r="E423" s="5"/>
    </row>
    <row r="424" spans="1:5" x14ac:dyDescent="0.2">
      <c r="C424" s="14"/>
      <c r="E424" s="5"/>
    </row>
    <row r="425" spans="1:5" x14ac:dyDescent="0.2">
      <c r="C425" s="14"/>
      <c r="E425" s="5"/>
    </row>
    <row r="426" spans="1:5" x14ac:dyDescent="0.2">
      <c r="C426" s="14"/>
      <c r="E426" s="5"/>
    </row>
    <row r="427" spans="1:5" x14ac:dyDescent="0.2">
      <c r="C427" s="14"/>
      <c r="E427" s="5"/>
    </row>
    <row r="428" spans="1:5" x14ac:dyDescent="0.2">
      <c r="C428" s="14"/>
      <c r="E428" s="5"/>
    </row>
    <row r="429" spans="1:5" x14ac:dyDescent="0.2">
      <c r="C429" s="14"/>
      <c r="E429" s="5"/>
    </row>
    <row r="430" spans="1:5" x14ac:dyDescent="0.2">
      <c r="B430" s="3"/>
      <c r="C430" s="14"/>
      <c r="E430" s="5"/>
    </row>
    <row r="431" spans="1:5" x14ac:dyDescent="0.2">
      <c r="C431" s="14"/>
      <c r="E431" s="5"/>
    </row>
    <row r="432" spans="1:5" x14ac:dyDescent="0.2">
      <c r="C432" s="14"/>
      <c r="E432" s="5"/>
    </row>
    <row r="433" spans="1:5" x14ac:dyDescent="0.2">
      <c r="C433" s="14"/>
      <c r="E433" s="5"/>
    </row>
    <row r="434" spans="1:5" x14ac:dyDescent="0.2">
      <c r="C434" s="14"/>
      <c r="D434" s="5"/>
      <c r="E434" s="5"/>
    </row>
    <row r="435" spans="1:5" x14ac:dyDescent="0.2">
      <c r="B435" s="3"/>
      <c r="C435" s="4"/>
      <c r="E435" s="5"/>
    </row>
    <row r="436" spans="1:5" x14ac:dyDescent="0.2">
      <c r="A436" s="5"/>
      <c r="B436" s="3"/>
      <c r="C436" s="14"/>
      <c r="D436" s="5"/>
      <c r="E436" s="5"/>
    </row>
    <row r="437" spans="1:5" x14ac:dyDescent="0.2">
      <c r="C437" s="14"/>
      <c r="E437" s="5"/>
    </row>
    <row r="438" spans="1:5" x14ac:dyDescent="0.2">
      <c r="B438" s="3"/>
      <c r="C438" s="14"/>
      <c r="E438" s="5"/>
    </row>
    <row r="439" spans="1:5" x14ac:dyDescent="0.2">
      <c r="C439" s="14"/>
      <c r="E439" s="5"/>
    </row>
    <row r="440" spans="1:5" x14ac:dyDescent="0.2">
      <c r="C440" s="14"/>
      <c r="E440" s="5"/>
    </row>
    <row r="441" spans="1:5" x14ac:dyDescent="0.2">
      <c r="A441" s="5"/>
      <c r="B441" s="3"/>
      <c r="C441" s="4"/>
      <c r="E441" s="5"/>
    </row>
    <row r="442" spans="1:5" x14ac:dyDescent="0.2">
      <c r="B442" s="3"/>
      <c r="C442" s="14"/>
      <c r="E442" s="5"/>
    </row>
    <row r="443" spans="1:5" x14ac:dyDescent="0.2">
      <c r="B443" s="3"/>
      <c r="C443" s="14"/>
      <c r="E443" s="5"/>
    </row>
    <row r="444" spans="1:5" x14ac:dyDescent="0.2">
      <c r="C444" s="14"/>
      <c r="E444" s="5"/>
    </row>
    <row r="445" spans="1:5" x14ac:dyDescent="0.2">
      <c r="C445" s="14"/>
      <c r="E445" s="5"/>
    </row>
    <row r="446" spans="1:5" x14ac:dyDescent="0.2">
      <c r="C446" s="14"/>
      <c r="E446" s="5"/>
    </row>
    <row r="447" spans="1:5" x14ac:dyDescent="0.2">
      <c r="C447" s="14"/>
      <c r="E447" s="5"/>
    </row>
    <row r="448" spans="1:5" x14ac:dyDescent="0.2">
      <c r="C448" s="14"/>
      <c r="D448" s="5"/>
      <c r="E448" s="5"/>
    </row>
    <row r="449" spans="1:5" x14ac:dyDescent="0.2">
      <c r="C449" s="14"/>
      <c r="E449" s="5"/>
    </row>
    <row r="450" spans="1:5" x14ac:dyDescent="0.2">
      <c r="C450" s="14"/>
      <c r="D450" s="5"/>
      <c r="E450" s="5"/>
    </row>
    <row r="451" spans="1:5" x14ac:dyDescent="0.2">
      <c r="C451" s="14"/>
      <c r="D451" s="5"/>
      <c r="E451" s="5"/>
    </row>
    <row r="452" spans="1:5" x14ac:dyDescent="0.2">
      <c r="C452" s="4"/>
      <c r="E452" s="5"/>
    </row>
    <row r="453" spans="1:5" x14ac:dyDescent="0.2">
      <c r="A453" s="5"/>
      <c r="B453" s="3"/>
      <c r="C453" s="14"/>
      <c r="D453" s="5"/>
      <c r="E453" s="5"/>
    </row>
    <row r="454" spans="1:5" x14ac:dyDescent="0.2">
      <c r="C454" s="14"/>
      <c r="E454" s="5"/>
    </row>
    <row r="455" spans="1:5" x14ac:dyDescent="0.2">
      <c r="A455" s="5"/>
      <c r="B455" s="3"/>
      <c r="C455" s="4"/>
      <c r="E455" s="5"/>
    </row>
    <row r="456" spans="1:5" x14ac:dyDescent="0.2">
      <c r="B456" s="3"/>
      <c r="C456" s="14"/>
      <c r="E456" s="5"/>
    </row>
    <row r="457" spans="1:5" x14ac:dyDescent="0.2">
      <c r="C457" s="14"/>
      <c r="E457" s="5"/>
    </row>
    <row r="458" spans="1:5" x14ac:dyDescent="0.2">
      <c r="C458" s="14"/>
      <c r="E458" s="5"/>
    </row>
    <row r="459" spans="1:5" x14ac:dyDescent="0.2">
      <c r="C459" s="14"/>
      <c r="E459" s="5"/>
    </row>
    <row r="460" spans="1:5" x14ac:dyDescent="0.2">
      <c r="C460" s="14"/>
      <c r="E460" s="5"/>
    </row>
    <row r="461" spans="1:5" x14ac:dyDescent="0.2">
      <c r="C461" s="14"/>
      <c r="E461" s="5"/>
    </row>
    <row r="462" spans="1:5" x14ac:dyDescent="0.2">
      <c r="C462" s="14"/>
      <c r="E462" s="5"/>
    </row>
    <row r="463" spans="1:5" x14ac:dyDescent="0.2">
      <c r="C463" s="14"/>
      <c r="E463" s="5"/>
    </row>
    <row r="464" spans="1:5" x14ac:dyDescent="0.2">
      <c r="C464" s="14"/>
      <c r="E464" s="5"/>
    </row>
    <row r="465" spans="1:5" x14ac:dyDescent="0.2">
      <c r="B465" s="3"/>
      <c r="C465" s="14"/>
      <c r="E465" s="5"/>
    </row>
    <row r="466" spans="1:5" x14ac:dyDescent="0.2">
      <c r="C466" s="14"/>
      <c r="E466" s="5"/>
    </row>
    <row r="467" spans="1:5" x14ac:dyDescent="0.2">
      <c r="C467" s="14"/>
      <c r="E467" s="5"/>
    </row>
    <row r="468" spans="1:5" x14ac:dyDescent="0.2">
      <c r="C468" s="14"/>
      <c r="E468" s="5"/>
    </row>
    <row r="469" spans="1:5" x14ac:dyDescent="0.2">
      <c r="B469" s="3"/>
      <c r="C469" s="14"/>
      <c r="D469" s="5"/>
      <c r="E469" s="5"/>
    </row>
    <row r="470" spans="1:5" x14ac:dyDescent="0.2">
      <c r="A470" s="5"/>
      <c r="B470" s="3"/>
      <c r="C470" s="4"/>
      <c r="E470" s="5"/>
    </row>
    <row r="471" spans="1:5" x14ac:dyDescent="0.2">
      <c r="C471" s="4"/>
      <c r="E471" s="5"/>
    </row>
    <row r="472" spans="1:5" x14ac:dyDescent="0.2">
      <c r="C472" s="4"/>
      <c r="E472" s="5"/>
    </row>
    <row r="473" spans="1:5" x14ac:dyDescent="0.2">
      <c r="B473" s="3"/>
      <c r="C473" s="4"/>
      <c r="E473" s="5"/>
    </row>
    <row r="474" spans="1:5" x14ac:dyDescent="0.2">
      <c r="C474" s="4"/>
      <c r="E474" s="5"/>
    </row>
    <row r="475" spans="1:5" x14ac:dyDescent="0.2">
      <c r="C475" s="4"/>
      <c r="E475" s="5"/>
    </row>
    <row r="476" spans="1:5" x14ac:dyDescent="0.2">
      <c r="C476" s="4"/>
      <c r="E476" s="5"/>
    </row>
    <row r="477" spans="1:5" x14ac:dyDescent="0.2">
      <c r="C477" s="4"/>
      <c r="E477" s="5"/>
    </row>
    <row r="478" spans="1:5" x14ac:dyDescent="0.2">
      <c r="C478" s="4"/>
      <c r="E478" s="5"/>
    </row>
    <row r="479" spans="1:5" x14ac:dyDescent="0.2">
      <c r="C479" s="4"/>
      <c r="E479" s="5"/>
    </row>
    <row r="480" spans="1:5" x14ac:dyDescent="0.2">
      <c r="C480" s="4"/>
      <c r="E480" s="5"/>
    </row>
    <row r="481" spans="2:5" x14ac:dyDescent="0.2">
      <c r="C481" s="4"/>
      <c r="E481" s="5"/>
    </row>
    <row r="482" spans="2:5" x14ac:dyDescent="0.2">
      <c r="C482" s="4"/>
      <c r="E482" s="5"/>
    </row>
    <row r="483" spans="2:5" x14ac:dyDescent="0.2">
      <c r="C483" s="4"/>
      <c r="E483" s="5"/>
    </row>
    <row r="484" spans="2:5" x14ac:dyDescent="0.2">
      <c r="C484" s="4"/>
      <c r="E484" s="5"/>
    </row>
    <row r="485" spans="2:5" x14ac:dyDescent="0.2">
      <c r="C485" s="4"/>
      <c r="E485" s="5"/>
    </row>
    <row r="486" spans="2:5" x14ac:dyDescent="0.2">
      <c r="C486" s="4"/>
      <c r="E486" s="5"/>
    </row>
    <row r="487" spans="2:5" x14ac:dyDescent="0.2">
      <c r="C487" s="4"/>
      <c r="E487" s="5"/>
    </row>
    <row r="488" spans="2:5" x14ac:dyDescent="0.2">
      <c r="C488" s="4"/>
      <c r="E488" s="5"/>
    </row>
    <row r="489" spans="2:5" x14ac:dyDescent="0.2">
      <c r="B489" s="3"/>
      <c r="C489" s="4"/>
      <c r="E489" s="5"/>
    </row>
    <row r="490" spans="2:5" x14ac:dyDescent="0.2">
      <c r="C490" s="4"/>
      <c r="E490" s="5"/>
    </row>
    <row r="491" spans="2:5" x14ac:dyDescent="0.2">
      <c r="B491" s="3"/>
      <c r="C491" s="4"/>
      <c r="E491" s="5"/>
    </row>
    <row r="492" spans="2:5" x14ac:dyDescent="0.2">
      <c r="C492" s="4"/>
      <c r="E492" s="5"/>
    </row>
    <row r="493" spans="2:5" x14ac:dyDescent="0.2">
      <c r="C493" s="4"/>
      <c r="E493" s="5"/>
    </row>
    <row r="494" spans="2:5" x14ac:dyDescent="0.2">
      <c r="C494" s="4"/>
      <c r="E494" s="5"/>
    </row>
    <row r="495" spans="2:5" x14ac:dyDescent="0.2">
      <c r="C495" s="4"/>
      <c r="E495" s="5"/>
    </row>
    <row r="496" spans="2:5" x14ac:dyDescent="0.2">
      <c r="C496" s="4"/>
      <c r="E496" s="5"/>
    </row>
    <row r="497" spans="1:5" x14ac:dyDescent="0.2">
      <c r="C497" s="4"/>
      <c r="E497" s="5"/>
    </row>
    <row r="498" spans="1:5" x14ac:dyDescent="0.2">
      <c r="C498" s="4"/>
      <c r="E498" s="5"/>
    </row>
    <row r="499" spans="1:5" x14ac:dyDescent="0.2">
      <c r="B499" s="3"/>
      <c r="C499" s="4"/>
      <c r="E499" s="5"/>
    </row>
    <row r="500" spans="1:5" x14ac:dyDescent="0.2">
      <c r="C500" s="4"/>
      <c r="E500" s="5"/>
    </row>
    <row r="501" spans="1:5" x14ac:dyDescent="0.2">
      <c r="C501" s="4"/>
      <c r="E501" s="5"/>
    </row>
    <row r="502" spans="1:5" x14ac:dyDescent="0.2">
      <c r="C502" s="4"/>
      <c r="E502" s="5"/>
    </row>
    <row r="503" spans="1:5" x14ac:dyDescent="0.2">
      <c r="A503" s="5"/>
      <c r="B503" s="3"/>
      <c r="C503" s="4"/>
      <c r="E503" s="5"/>
    </row>
    <row r="504" spans="1:5" x14ac:dyDescent="0.2">
      <c r="C504" s="4"/>
    </row>
    <row r="505" spans="1:5" x14ac:dyDescent="0.2">
      <c r="B505" s="3"/>
      <c r="C505" s="4"/>
    </row>
    <row r="506" spans="1:5" x14ac:dyDescent="0.2">
      <c r="C506" s="4"/>
    </row>
    <row r="507" spans="1:5" x14ac:dyDescent="0.2">
      <c r="C507" s="4"/>
    </row>
    <row r="508" spans="1:5" x14ac:dyDescent="0.2">
      <c r="B508" s="3"/>
      <c r="C508" s="4"/>
    </row>
    <row r="509" spans="1:5" x14ac:dyDescent="0.2">
      <c r="C509" s="4"/>
    </row>
    <row r="510" spans="1:5" x14ac:dyDescent="0.2">
      <c r="C510" s="4"/>
    </row>
    <row r="511" spans="1:5" x14ac:dyDescent="0.2">
      <c r="C511" s="4"/>
    </row>
    <row r="512" spans="1:5" x14ac:dyDescent="0.2">
      <c r="C512" s="4"/>
    </row>
    <row r="513" spans="1:5" x14ac:dyDescent="0.2">
      <c r="C513" s="4"/>
    </row>
    <row r="514" spans="1:5" x14ac:dyDescent="0.2">
      <c r="C514" s="4"/>
    </row>
    <row r="515" spans="1:5" x14ac:dyDescent="0.2">
      <c r="C515" s="4"/>
    </row>
    <row r="516" spans="1:5" x14ac:dyDescent="0.2">
      <c r="C516" s="4"/>
    </row>
    <row r="517" spans="1:5" x14ac:dyDescent="0.2">
      <c r="C517" s="4"/>
    </row>
    <row r="518" spans="1:5" x14ac:dyDescent="0.2">
      <c r="C518" s="4"/>
    </row>
    <row r="519" spans="1:5" x14ac:dyDescent="0.2">
      <c r="C519" s="4"/>
    </row>
    <row r="520" spans="1:5" x14ac:dyDescent="0.2">
      <c r="C520" s="4"/>
    </row>
    <row r="521" spans="1:5" x14ac:dyDescent="0.2">
      <c r="C521" s="4"/>
    </row>
    <row r="522" spans="1:5" x14ac:dyDescent="0.2">
      <c r="A522" s="5"/>
      <c r="B522" s="3"/>
      <c r="C522" s="4"/>
    </row>
    <row r="523" spans="1:5" x14ac:dyDescent="0.2">
      <c r="C523" s="4"/>
    </row>
    <row r="524" spans="1:5" x14ac:dyDescent="0.2">
      <c r="B524" s="3"/>
      <c r="C524" s="4"/>
    </row>
    <row r="525" spans="1:5" x14ac:dyDescent="0.2">
      <c r="A525" s="5"/>
      <c r="B525" s="3"/>
      <c r="C525" s="14"/>
      <c r="D525" s="5"/>
    </row>
    <row r="526" spans="1:5" x14ac:dyDescent="0.2">
      <c r="C526" s="14"/>
      <c r="E526" s="5"/>
    </row>
    <row r="527" spans="1:5" x14ac:dyDescent="0.2">
      <c r="C527" s="14"/>
      <c r="E527" s="5"/>
    </row>
    <row r="528" spans="1:5" x14ac:dyDescent="0.2">
      <c r="B528" s="3"/>
      <c r="C528" s="14"/>
      <c r="E528" s="5"/>
    </row>
    <row r="529" spans="2:5" x14ac:dyDescent="0.2">
      <c r="C529" s="14"/>
      <c r="E529" s="5"/>
    </row>
    <row r="530" spans="2:5" x14ac:dyDescent="0.2">
      <c r="C530" s="14"/>
      <c r="E530" s="5"/>
    </row>
    <row r="531" spans="2:5" x14ac:dyDescent="0.2">
      <c r="C531" s="14"/>
      <c r="E531" s="5"/>
    </row>
    <row r="532" spans="2:5" x14ac:dyDescent="0.2">
      <c r="C532" s="14"/>
      <c r="E532" s="5"/>
    </row>
    <row r="533" spans="2:5" x14ac:dyDescent="0.2">
      <c r="C533" s="14"/>
      <c r="E533" s="5"/>
    </row>
    <row r="534" spans="2:5" x14ac:dyDescent="0.2">
      <c r="C534" s="14"/>
      <c r="E534" s="5"/>
    </row>
    <row r="535" spans="2:5" x14ac:dyDescent="0.2">
      <c r="C535" s="14"/>
      <c r="E535" s="5"/>
    </row>
    <row r="536" spans="2:5" x14ac:dyDescent="0.2">
      <c r="C536" s="14"/>
      <c r="E536" s="5"/>
    </row>
    <row r="537" spans="2:5" x14ac:dyDescent="0.2">
      <c r="C537" s="14"/>
      <c r="E537" s="5"/>
    </row>
    <row r="538" spans="2:5" x14ac:dyDescent="0.2">
      <c r="C538" s="14"/>
      <c r="E538" s="5"/>
    </row>
    <row r="539" spans="2:5" x14ac:dyDescent="0.2">
      <c r="C539" s="14"/>
      <c r="E539" s="5"/>
    </row>
    <row r="540" spans="2:5" x14ac:dyDescent="0.2">
      <c r="C540" s="14"/>
      <c r="E540" s="5"/>
    </row>
    <row r="541" spans="2:5" x14ac:dyDescent="0.2">
      <c r="C541" s="14"/>
      <c r="E541" s="5"/>
    </row>
    <row r="542" spans="2:5" x14ac:dyDescent="0.2">
      <c r="C542" s="14"/>
      <c r="E542" s="5"/>
    </row>
    <row r="543" spans="2:5" x14ac:dyDescent="0.2">
      <c r="C543" s="14"/>
      <c r="E543" s="5"/>
    </row>
    <row r="544" spans="2:5" x14ac:dyDescent="0.2">
      <c r="B544" s="3"/>
      <c r="C544" s="14"/>
      <c r="E544" s="5"/>
    </row>
    <row r="545" spans="1:5" x14ac:dyDescent="0.2">
      <c r="C545" s="14"/>
      <c r="E545" s="5"/>
    </row>
    <row r="546" spans="1:5" x14ac:dyDescent="0.2">
      <c r="C546" s="14"/>
      <c r="E546" s="5"/>
    </row>
    <row r="547" spans="1:5" x14ac:dyDescent="0.2">
      <c r="C547" s="14"/>
      <c r="E547" s="5"/>
    </row>
    <row r="548" spans="1:5" x14ac:dyDescent="0.2">
      <c r="C548" s="14"/>
      <c r="E548" s="5"/>
    </row>
    <row r="549" spans="1:5" x14ac:dyDescent="0.2">
      <c r="C549" s="14"/>
      <c r="E549" s="5"/>
    </row>
    <row r="550" spans="1:5" x14ac:dyDescent="0.2">
      <c r="C550" s="14"/>
      <c r="E550" s="5"/>
    </row>
    <row r="551" spans="1:5" x14ac:dyDescent="0.2">
      <c r="C551" s="14"/>
      <c r="E551" s="5"/>
    </row>
    <row r="552" spans="1:5" x14ac:dyDescent="0.2">
      <c r="C552" s="14"/>
      <c r="E552" s="5"/>
    </row>
    <row r="553" spans="1:5" x14ac:dyDescent="0.2">
      <c r="C553" s="14"/>
      <c r="E553" s="5"/>
    </row>
    <row r="554" spans="1:5" x14ac:dyDescent="0.2">
      <c r="C554" s="14"/>
      <c r="E554" s="5"/>
    </row>
    <row r="555" spans="1:5" x14ac:dyDescent="0.2">
      <c r="C555" s="14"/>
      <c r="E555" s="5"/>
    </row>
    <row r="556" spans="1:5" x14ac:dyDescent="0.2">
      <c r="C556" s="14"/>
      <c r="D556" s="5"/>
      <c r="E556" s="5"/>
    </row>
    <row r="557" spans="1:5" x14ac:dyDescent="0.2">
      <c r="C557" s="14"/>
      <c r="E557" s="5"/>
    </row>
    <row r="558" spans="1:5" x14ac:dyDescent="0.2">
      <c r="A558" s="5"/>
      <c r="B558" s="3"/>
      <c r="C558" s="14"/>
      <c r="D558" s="5"/>
      <c r="E558" s="5"/>
    </row>
    <row r="559" spans="1:5" x14ac:dyDescent="0.2">
      <c r="C559" s="14"/>
      <c r="E559" s="5"/>
    </row>
    <row r="560" spans="1:5" x14ac:dyDescent="0.2">
      <c r="C560" s="14"/>
      <c r="E560" s="5"/>
    </row>
    <row r="561" spans="1:5" x14ac:dyDescent="0.2">
      <c r="C561" s="14"/>
      <c r="E561" s="5"/>
    </row>
    <row r="562" spans="1:5" x14ac:dyDescent="0.2">
      <c r="C562" s="14"/>
      <c r="E562" s="5"/>
    </row>
    <row r="563" spans="1:5" x14ac:dyDescent="0.2">
      <c r="C563" s="14"/>
      <c r="E563" s="5"/>
    </row>
    <row r="564" spans="1:5" x14ac:dyDescent="0.2">
      <c r="C564" s="14"/>
      <c r="E564" s="5"/>
    </row>
    <row r="565" spans="1:5" x14ac:dyDescent="0.2">
      <c r="C565" s="14"/>
      <c r="E565" s="5"/>
    </row>
    <row r="566" spans="1:5" x14ac:dyDescent="0.2">
      <c r="C566" s="14"/>
      <c r="E566" s="5"/>
    </row>
    <row r="567" spans="1:5" x14ac:dyDescent="0.2">
      <c r="C567" s="14"/>
      <c r="E567" s="5"/>
    </row>
    <row r="568" spans="1:5" x14ac:dyDescent="0.2">
      <c r="C568" s="14"/>
      <c r="E568" s="5"/>
    </row>
    <row r="569" spans="1:5" x14ac:dyDescent="0.2">
      <c r="B569" s="3"/>
      <c r="C569" s="14"/>
      <c r="D569" s="5"/>
    </row>
    <row r="570" spans="1:5" x14ac:dyDescent="0.2">
      <c r="C570" s="14"/>
    </row>
    <row r="571" spans="1:5" x14ac:dyDescent="0.2">
      <c r="A571" s="5"/>
      <c r="B571" s="3"/>
      <c r="C571" s="14"/>
      <c r="D571" s="5"/>
    </row>
    <row r="572" spans="1:5" x14ac:dyDescent="0.2">
      <c r="C572" s="14"/>
      <c r="E572" s="5"/>
    </row>
    <row r="573" spans="1:5" x14ac:dyDescent="0.2">
      <c r="C573" s="14"/>
      <c r="E573" s="5"/>
    </row>
    <row r="574" spans="1:5" x14ac:dyDescent="0.2">
      <c r="C574" s="14"/>
      <c r="E574" s="5"/>
    </row>
    <row r="575" spans="1:5" x14ac:dyDescent="0.2">
      <c r="C575" s="14"/>
      <c r="E575" s="5"/>
    </row>
    <row r="576" spans="1:5" x14ac:dyDescent="0.2">
      <c r="C576" s="14"/>
      <c r="E576" s="5"/>
    </row>
    <row r="577" spans="3:5" x14ac:dyDescent="0.2">
      <c r="C577" s="14"/>
      <c r="E577" s="5"/>
    </row>
    <row r="578" spans="3:5" x14ac:dyDescent="0.2">
      <c r="C578" s="14"/>
      <c r="E578" s="5"/>
    </row>
    <row r="579" spans="3:5" x14ac:dyDescent="0.2">
      <c r="C579" s="14"/>
      <c r="E579" s="5"/>
    </row>
    <row r="580" spans="3:5" x14ac:dyDescent="0.2">
      <c r="C580" s="14"/>
      <c r="E580" s="5"/>
    </row>
    <row r="581" spans="3:5" x14ac:dyDescent="0.2">
      <c r="C581" s="14"/>
      <c r="E581" s="5"/>
    </row>
    <row r="582" spans="3:5" x14ac:dyDescent="0.2">
      <c r="C582" s="14"/>
      <c r="E582" s="5"/>
    </row>
    <row r="583" spans="3:5" x14ac:dyDescent="0.2">
      <c r="C583" s="14"/>
      <c r="E583" s="5"/>
    </row>
    <row r="584" spans="3:5" x14ac:dyDescent="0.2">
      <c r="C584" s="14"/>
      <c r="E584" s="5"/>
    </row>
    <row r="585" spans="3:5" x14ac:dyDescent="0.2">
      <c r="C585" s="14"/>
      <c r="E585" s="5"/>
    </row>
    <row r="586" spans="3:5" x14ac:dyDescent="0.2">
      <c r="C586" s="14"/>
      <c r="E586" s="5"/>
    </row>
    <row r="587" spans="3:5" x14ac:dyDescent="0.2">
      <c r="C587" s="14"/>
      <c r="E587" s="5"/>
    </row>
    <row r="588" spans="3:5" x14ac:dyDescent="0.2">
      <c r="C588" s="14"/>
      <c r="E588" s="5"/>
    </row>
    <row r="589" spans="3:5" x14ac:dyDescent="0.2">
      <c r="C589" s="14"/>
      <c r="E589" s="5"/>
    </row>
    <row r="590" spans="3:5" x14ac:dyDescent="0.2">
      <c r="C590" s="14"/>
      <c r="E590" s="5"/>
    </row>
    <row r="591" spans="3:5" x14ac:dyDescent="0.2">
      <c r="C591" s="14"/>
      <c r="E591" s="5"/>
    </row>
    <row r="592" spans="3:5" x14ac:dyDescent="0.2">
      <c r="C592" s="14"/>
      <c r="E592" s="5"/>
    </row>
    <row r="593" spans="3:5" x14ac:dyDescent="0.2">
      <c r="C593" s="14"/>
      <c r="D593" s="5"/>
      <c r="E593" s="5"/>
    </row>
    <row r="594" spans="3:5" x14ac:dyDescent="0.2">
      <c r="C594" s="14"/>
      <c r="E594" s="5"/>
    </row>
    <row r="595" spans="3:5" x14ac:dyDescent="0.2">
      <c r="C595" s="14"/>
      <c r="E595" s="5"/>
    </row>
    <row r="596" spans="3:5" x14ac:dyDescent="0.2">
      <c r="C596" s="14"/>
      <c r="E596" s="5"/>
    </row>
    <row r="597" spans="3:5" x14ac:dyDescent="0.2">
      <c r="C597" s="14"/>
      <c r="E597" s="5"/>
    </row>
    <row r="598" spans="3:5" x14ac:dyDescent="0.2">
      <c r="C598" s="14"/>
      <c r="E598" s="5"/>
    </row>
    <row r="599" spans="3:5" x14ac:dyDescent="0.2">
      <c r="C599" s="14"/>
      <c r="E599" s="5"/>
    </row>
    <row r="600" spans="3:5" x14ac:dyDescent="0.2">
      <c r="C600" s="14"/>
      <c r="E600" s="5"/>
    </row>
    <row r="601" spans="3:5" x14ac:dyDescent="0.2">
      <c r="C601" s="14"/>
      <c r="E601" s="5"/>
    </row>
    <row r="602" spans="3:5" x14ac:dyDescent="0.2">
      <c r="C602" s="14"/>
      <c r="E602" s="5"/>
    </row>
    <row r="603" spans="3:5" x14ac:dyDescent="0.2">
      <c r="C603" s="14"/>
      <c r="E603" s="5"/>
    </row>
    <row r="604" spans="3:5" x14ac:dyDescent="0.2">
      <c r="C604" s="14"/>
      <c r="E604" s="5"/>
    </row>
    <row r="605" spans="3:5" x14ac:dyDescent="0.2">
      <c r="C605" s="14"/>
      <c r="E605" s="5"/>
    </row>
    <row r="606" spans="3:5" x14ac:dyDescent="0.2">
      <c r="C606" s="14"/>
      <c r="E606" s="5"/>
    </row>
    <row r="607" spans="3:5" x14ac:dyDescent="0.2">
      <c r="C607" s="14"/>
      <c r="E607" s="5"/>
    </row>
    <row r="608" spans="3:5" x14ac:dyDescent="0.2">
      <c r="C608" s="14"/>
      <c r="E608" s="5"/>
    </row>
    <row r="609" spans="2:5" x14ac:dyDescent="0.2">
      <c r="C609" s="14"/>
      <c r="E609" s="5"/>
    </row>
    <row r="610" spans="2:5" x14ac:dyDescent="0.2">
      <c r="C610" s="14"/>
      <c r="E610" s="5"/>
    </row>
    <row r="611" spans="2:5" x14ac:dyDescent="0.2">
      <c r="C611" s="14"/>
      <c r="E611" s="5"/>
    </row>
    <row r="612" spans="2:5" x14ac:dyDescent="0.2">
      <c r="C612" s="14"/>
      <c r="E612" s="5"/>
    </row>
    <row r="613" spans="2:5" x14ac:dyDescent="0.2">
      <c r="C613" s="14"/>
    </row>
    <row r="615" spans="2:5" x14ac:dyDescent="0.2">
      <c r="B615" s="3"/>
      <c r="C615" s="14"/>
    </row>
    <row r="616" spans="2:5" x14ac:dyDescent="0.2">
      <c r="C616" s="14"/>
    </row>
    <row r="617" spans="2:5" x14ac:dyDescent="0.2">
      <c r="C617" s="14"/>
    </row>
    <row r="618" spans="2:5" x14ac:dyDescent="0.2">
      <c r="C618" s="14"/>
    </row>
    <row r="619" spans="2:5" x14ac:dyDescent="0.2">
      <c r="C619" s="14"/>
    </row>
    <row r="620" spans="2:5" x14ac:dyDescent="0.2">
      <c r="C620" s="14"/>
    </row>
    <row r="621" spans="2:5" x14ac:dyDescent="0.2">
      <c r="C621" s="14"/>
    </row>
    <row r="622" spans="2:5" x14ac:dyDescent="0.2">
      <c r="C622" s="14"/>
    </row>
    <row r="623" spans="2:5" x14ac:dyDescent="0.2">
      <c r="C623" s="14"/>
    </row>
    <row r="624" spans="2:5" x14ac:dyDescent="0.2">
      <c r="C624" s="14"/>
    </row>
    <row r="625" spans="3:3" x14ac:dyDescent="0.2">
      <c r="C625" s="14"/>
    </row>
    <row r="626" spans="3:3" x14ac:dyDescent="0.2">
      <c r="C626" s="14"/>
    </row>
    <row r="627" spans="3:3" x14ac:dyDescent="0.2">
      <c r="C627" s="14"/>
    </row>
    <row r="628" spans="3:3" x14ac:dyDescent="0.2">
      <c r="C628" s="14"/>
    </row>
    <row r="629" spans="3:3" x14ac:dyDescent="0.2">
      <c r="C629" s="14"/>
    </row>
    <row r="630" spans="3:3" x14ac:dyDescent="0.2">
      <c r="C630" s="14"/>
    </row>
    <row r="631" spans="3:3" x14ac:dyDescent="0.2">
      <c r="C631" s="14"/>
    </row>
    <row r="632" spans="3:3" x14ac:dyDescent="0.2">
      <c r="C632" s="14"/>
    </row>
    <row r="633" spans="3:3" x14ac:dyDescent="0.2">
      <c r="C633" s="14"/>
    </row>
    <row r="634" spans="3:3" x14ac:dyDescent="0.2">
      <c r="C634" s="14"/>
    </row>
    <row r="635" spans="3:3" x14ac:dyDescent="0.2">
      <c r="C635" s="14"/>
    </row>
    <row r="636" spans="3:3" x14ac:dyDescent="0.2">
      <c r="C636" s="14"/>
    </row>
    <row r="637" spans="3:3" x14ac:dyDescent="0.2">
      <c r="C637" s="14"/>
    </row>
    <row r="638" spans="3:3" x14ac:dyDescent="0.2">
      <c r="C638" s="14"/>
    </row>
    <row r="639" spans="3:3" x14ac:dyDescent="0.2">
      <c r="C639" s="14"/>
    </row>
    <row r="640" spans="3:3" x14ac:dyDescent="0.2">
      <c r="C640" s="14"/>
    </row>
    <row r="641" spans="2:3" x14ac:dyDescent="0.2">
      <c r="C641" s="14"/>
    </row>
    <row r="643" spans="2:3" x14ac:dyDescent="0.2">
      <c r="B643" s="3"/>
      <c r="C643" s="14"/>
    </row>
    <row r="644" spans="2:3" x14ac:dyDescent="0.2">
      <c r="C644" s="14"/>
    </row>
    <row r="645" spans="2:3" x14ac:dyDescent="0.2">
      <c r="C645" s="14"/>
    </row>
    <row r="646" spans="2:3" x14ac:dyDescent="0.2">
      <c r="C646" s="14"/>
    </row>
    <row r="647" spans="2:3" x14ac:dyDescent="0.2">
      <c r="C647" s="14"/>
    </row>
    <row r="648" spans="2:3" x14ac:dyDescent="0.2">
      <c r="C648" s="14"/>
    </row>
    <row r="649" spans="2:3" x14ac:dyDescent="0.2">
      <c r="C649" s="14"/>
    </row>
    <row r="650" spans="2:3" x14ac:dyDescent="0.2">
      <c r="C650" s="14"/>
    </row>
    <row r="651" spans="2:3" x14ac:dyDescent="0.2">
      <c r="C651" s="14"/>
    </row>
    <row r="652" spans="2:3" x14ac:dyDescent="0.2">
      <c r="C652" s="14"/>
    </row>
    <row r="653" spans="2:3" x14ac:dyDescent="0.2">
      <c r="C653" s="14"/>
    </row>
    <row r="654" spans="2:3" x14ac:dyDescent="0.2">
      <c r="C654" s="14"/>
    </row>
    <row r="655" spans="2:3" x14ac:dyDescent="0.2">
      <c r="C655" s="14"/>
    </row>
    <row r="656" spans="2:3" x14ac:dyDescent="0.2">
      <c r="C656" s="14"/>
    </row>
    <row r="657" spans="2:3" x14ac:dyDescent="0.2">
      <c r="C657" s="14"/>
    </row>
    <row r="658" spans="2:3" x14ac:dyDescent="0.2">
      <c r="C658" s="14"/>
    </row>
    <row r="659" spans="2:3" x14ac:dyDescent="0.2">
      <c r="C659" s="14"/>
    </row>
    <row r="660" spans="2:3" x14ac:dyDescent="0.2">
      <c r="C660" s="14"/>
    </row>
    <row r="661" spans="2:3" x14ac:dyDescent="0.2">
      <c r="C661" s="14"/>
    </row>
    <row r="662" spans="2:3" x14ac:dyDescent="0.2">
      <c r="C662" s="14"/>
    </row>
    <row r="663" spans="2:3" x14ac:dyDescent="0.2">
      <c r="C663" s="14"/>
    </row>
    <row r="664" spans="2:3" x14ac:dyDescent="0.2">
      <c r="C664" s="14"/>
    </row>
    <row r="666" spans="2:3" x14ac:dyDescent="0.2">
      <c r="B666" s="3"/>
      <c r="C666" s="14"/>
    </row>
    <row r="667" spans="2:3" x14ac:dyDescent="0.2">
      <c r="C667" s="14"/>
    </row>
    <row r="668" spans="2:3" x14ac:dyDescent="0.2">
      <c r="C668" s="14"/>
    </row>
    <row r="669" spans="2:3" x14ac:dyDescent="0.2">
      <c r="C669" s="14"/>
    </row>
    <row r="670" spans="2:3" x14ac:dyDescent="0.2">
      <c r="C670" s="14"/>
    </row>
    <row r="671" spans="2:3" x14ac:dyDescent="0.2">
      <c r="C671" s="14"/>
    </row>
    <row r="672" spans="2:3" x14ac:dyDescent="0.2">
      <c r="C672" s="14"/>
    </row>
    <row r="673" spans="3:3" x14ac:dyDescent="0.2">
      <c r="C673" s="14"/>
    </row>
    <row r="674" spans="3:3" x14ac:dyDescent="0.2">
      <c r="C674" s="14"/>
    </row>
    <row r="675" spans="3:3" x14ac:dyDescent="0.2">
      <c r="C675" s="14"/>
    </row>
    <row r="676" spans="3:3" x14ac:dyDescent="0.2">
      <c r="C676" s="14"/>
    </row>
    <row r="677" spans="3:3" x14ac:dyDescent="0.2">
      <c r="C677" s="14"/>
    </row>
    <row r="678" spans="3:3" x14ac:dyDescent="0.2">
      <c r="C678" s="14"/>
    </row>
    <row r="679" spans="3:3" x14ac:dyDescent="0.2">
      <c r="C679" s="14"/>
    </row>
    <row r="680" spans="3:3" x14ac:dyDescent="0.2">
      <c r="C680" s="14"/>
    </row>
    <row r="681" spans="3:3" x14ac:dyDescent="0.2">
      <c r="C681" s="14"/>
    </row>
    <row r="682" spans="3:3" x14ac:dyDescent="0.2">
      <c r="C682" s="14"/>
    </row>
    <row r="683" spans="3:3" x14ac:dyDescent="0.2">
      <c r="C683" s="14"/>
    </row>
    <row r="684" spans="3:3" x14ac:dyDescent="0.2">
      <c r="C684" s="14"/>
    </row>
    <row r="685" spans="3:3" x14ac:dyDescent="0.2">
      <c r="C685" s="14"/>
    </row>
    <row r="686" spans="3:3" x14ac:dyDescent="0.2">
      <c r="C686" s="14"/>
    </row>
    <row r="687" spans="3:3" x14ac:dyDescent="0.2">
      <c r="C687" s="14"/>
    </row>
    <row r="689" spans="2:3" x14ac:dyDescent="0.2">
      <c r="B689" s="3"/>
      <c r="C689" s="14"/>
    </row>
    <row r="690" spans="2:3" x14ac:dyDescent="0.2">
      <c r="C690" s="14"/>
    </row>
    <row r="691" spans="2:3" x14ac:dyDescent="0.2">
      <c r="C691" s="14"/>
    </row>
    <row r="692" spans="2:3" x14ac:dyDescent="0.2">
      <c r="C692" s="14"/>
    </row>
    <row r="693" spans="2:3" x14ac:dyDescent="0.2">
      <c r="C693" s="14"/>
    </row>
    <row r="694" spans="2:3" x14ac:dyDescent="0.2">
      <c r="C694" s="14"/>
    </row>
    <row r="695" spans="2:3" x14ac:dyDescent="0.2">
      <c r="C695" s="14"/>
    </row>
    <row r="696" spans="2:3" x14ac:dyDescent="0.2">
      <c r="C696" s="14"/>
    </row>
    <row r="697" spans="2:3" x14ac:dyDescent="0.2">
      <c r="C697" s="14"/>
    </row>
    <row r="698" spans="2:3" x14ac:dyDescent="0.2">
      <c r="C698" s="14"/>
    </row>
    <row r="699" spans="2:3" x14ac:dyDescent="0.2">
      <c r="C699" s="14"/>
    </row>
    <row r="700" spans="2:3" x14ac:dyDescent="0.2">
      <c r="C700" s="14"/>
    </row>
    <row r="701" spans="2:3" x14ac:dyDescent="0.2">
      <c r="C701" s="14"/>
    </row>
    <row r="702" spans="2:3" x14ac:dyDescent="0.2">
      <c r="C702" s="14"/>
    </row>
    <row r="703" spans="2:3" x14ac:dyDescent="0.2">
      <c r="C703" s="14"/>
    </row>
    <row r="704" spans="2:3" x14ac:dyDescent="0.2">
      <c r="C704" s="14"/>
    </row>
    <row r="705" spans="2:3" x14ac:dyDescent="0.2">
      <c r="C705" s="14"/>
    </row>
    <row r="706" spans="2:3" x14ac:dyDescent="0.2">
      <c r="C706" s="14"/>
    </row>
    <row r="707" spans="2:3" x14ac:dyDescent="0.2">
      <c r="C707" s="14"/>
    </row>
    <row r="709" spans="2:3" x14ac:dyDescent="0.2">
      <c r="B709" s="3"/>
      <c r="C709" s="14"/>
    </row>
    <row r="710" spans="2:3" x14ac:dyDescent="0.2">
      <c r="C710" s="14"/>
    </row>
    <row r="711" spans="2:3" x14ac:dyDescent="0.2">
      <c r="C711" s="14"/>
    </row>
    <row r="712" spans="2:3" x14ac:dyDescent="0.2">
      <c r="C712" s="14"/>
    </row>
    <row r="713" spans="2:3" x14ac:dyDescent="0.2">
      <c r="C713" s="14"/>
    </row>
    <row r="714" spans="2:3" x14ac:dyDescent="0.2">
      <c r="C714" s="14"/>
    </row>
    <row r="715" spans="2:3" x14ac:dyDescent="0.2">
      <c r="C715" s="14"/>
    </row>
    <row r="716" spans="2:3" x14ac:dyDescent="0.2">
      <c r="C716" s="14"/>
    </row>
    <row r="717" spans="2:3" x14ac:dyDescent="0.2">
      <c r="C717" s="14"/>
    </row>
    <row r="718" spans="2:3" x14ac:dyDescent="0.2">
      <c r="C718" s="14"/>
    </row>
    <row r="719" spans="2:3" x14ac:dyDescent="0.2">
      <c r="C719" s="14"/>
    </row>
    <row r="720" spans="2:3" x14ac:dyDescent="0.2">
      <c r="C720" s="14"/>
    </row>
    <row r="721" spans="2:3" x14ac:dyDescent="0.2">
      <c r="C721" s="14"/>
    </row>
    <row r="722" spans="2:3" x14ac:dyDescent="0.2">
      <c r="C722" s="14"/>
    </row>
    <row r="723" spans="2:3" x14ac:dyDescent="0.2">
      <c r="C723" s="14"/>
    </row>
    <row r="724" spans="2:3" x14ac:dyDescent="0.2">
      <c r="C724" s="14"/>
    </row>
    <row r="725" spans="2:3" x14ac:dyDescent="0.2">
      <c r="C725" s="14"/>
    </row>
    <row r="726" spans="2:3" x14ac:dyDescent="0.2">
      <c r="C726" s="14"/>
    </row>
    <row r="727" spans="2:3" x14ac:dyDescent="0.2">
      <c r="C727" s="14"/>
    </row>
    <row r="728" spans="2:3" x14ac:dyDescent="0.2">
      <c r="C728" s="14"/>
    </row>
    <row r="729" spans="2:3" x14ac:dyDescent="0.2">
      <c r="C729" s="14"/>
    </row>
    <row r="730" spans="2:3" x14ac:dyDescent="0.2">
      <c r="C730" s="14"/>
    </row>
    <row r="731" spans="2:3" x14ac:dyDescent="0.2">
      <c r="C731" s="14"/>
    </row>
    <row r="732" spans="2:3" x14ac:dyDescent="0.2">
      <c r="C732" s="14"/>
    </row>
    <row r="733" spans="2:3" x14ac:dyDescent="0.2">
      <c r="C733" s="14"/>
    </row>
    <row r="734" spans="2:3" x14ac:dyDescent="0.2">
      <c r="C734" s="14"/>
    </row>
    <row r="736" spans="2:3" x14ac:dyDescent="0.2">
      <c r="B736" s="3"/>
      <c r="C736" s="14"/>
    </row>
    <row r="737" spans="3:3" x14ac:dyDescent="0.2">
      <c r="C737" s="14"/>
    </row>
    <row r="738" spans="3:3" x14ac:dyDescent="0.2">
      <c r="C738" s="14"/>
    </row>
    <row r="739" spans="3:3" x14ac:dyDescent="0.2">
      <c r="C739" s="14"/>
    </row>
    <row r="740" spans="3:3" x14ac:dyDescent="0.2">
      <c r="C740" s="14"/>
    </row>
    <row r="741" spans="3:3" x14ac:dyDescent="0.2">
      <c r="C741" s="14"/>
    </row>
    <row r="742" spans="3:3" x14ac:dyDescent="0.2">
      <c r="C742" s="14"/>
    </row>
    <row r="743" spans="3:3" x14ac:dyDescent="0.2">
      <c r="C743" s="14"/>
    </row>
    <row r="744" spans="3:3" x14ac:dyDescent="0.2">
      <c r="C744" s="14"/>
    </row>
    <row r="745" spans="3:3" x14ac:dyDescent="0.2">
      <c r="C745" s="14"/>
    </row>
    <row r="746" spans="3:3" x14ac:dyDescent="0.2">
      <c r="C746" s="14"/>
    </row>
    <row r="747" spans="3:3" x14ac:dyDescent="0.2">
      <c r="C747" s="14"/>
    </row>
    <row r="748" spans="3:3" x14ac:dyDescent="0.2">
      <c r="C748" s="14"/>
    </row>
    <row r="749" spans="3:3" x14ac:dyDescent="0.2">
      <c r="C749" s="14"/>
    </row>
    <row r="750" spans="3:3" x14ac:dyDescent="0.2">
      <c r="C750" s="14"/>
    </row>
    <row r="751" spans="3:3" x14ac:dyDescent="0.2">
      <c r="C751" s="14"/>
    </row>
    <row r="752" spans="3:3" x14ac:dyDescent="0.2">
      <c r="C752" s="14"/>
    </row>
    <row r="753" spans="2:3" x14ac:dyDescent="0.2">
      <c r="C753" s="14"/>
    </row>
    <row r="754" spans="2:3" x14ac:dyDescent="0.2">
      <c r="C754" s="14"/>
    </row>
    <row r="755" spans="2:3" x14ac:dyDescent="0.2">
      <c r="C755" s="14"/>
    </row>
    <row r="756" spans="2:3" x14ac:dyDescent="0.2">
      <c r="C756" s="14"/>
    </row>
    <row r="757" spans="2:3" x14ac:dyDescent="0.2">
      <c r="C757" s="14"/>
    </row>
    <row r="758" spans="2:3" x14ac:dyDescent="0.2">
      <c r="C758" s="14"/>
    </row>
    <row r="759" spans="2:3" x14ac:dyDescent="0.2">
      <c r="C759" s="14"/>
    </row>
    <row r="760" spans="2:3" x14ac:dyDescent="0.2">
      <c r="C760" s="14"/>
    </row>
    <row r="761" spans="2:3" x14ac:dyDescent="0.2">
      <c r="C761" s="14"/>
    </row>
    <row r="762" spans="2:3" x14ac:dyDescent="0.2">
      <c r="C762" s="14"/>
    </row>
    <row r="763" spans="2:3" x14ac:dyDescent="0.2">
      <c r="C763" s="14"/>
    </row>
    <row r="764" spans="2:3" x14ac:dyDescent="0.2">
      <c r="C764" s="14"/>
    </row>
    <row r="765" spans="2:3" x14ac:dyDescent="0.2">
      <c r="C765" s="14"/>
    </row>
    <row r="766" spans="2:3" x14ac:dyDescent="0.2">
      <c r="C766" s="14"/>
    </row>
    <row r="768" spans="2:3" x14ac:dyDescent="0.2">
      <c r="B768" s="3"/>
      <c r="C768" s="14"/>
    </row>
    <row r="769" spans="3:3" x14ac:dyDescent="0.2">
      <c r="C769" s="14"/>
    </row>
    <row r="770" spans="3:3" x14ac:dyDescent="0.2">
      <c r="C770" s="14"/>
    </row>
    <row r="771" spans="3:3" x14ac:dyDescent="0.2">
      <c r="C771" s="14"/>
    </row>
    <row r="772" spans="3:3" x14ac:dyDescent="0.2">
      <c r="C772" s="14"/>
    </row>
    <row r="773" spans="3:3" x14ac:dyDescent="0.2">
      <c r="C773" s="14"/>
    </row>
    <row r="774" spans="3:3" x14ac:dyDescent="0.2">
      <c r="C774" s="14"/>
    </row>
    <row r="775" spans="3:3" x14ac:dyDescent="0.2">
      <c r="C775" s="14"/>
    </row>
    <row r="776" spans="3:3" x14ac:dyDescent="0.2">
      <c r="C776" s="14"/>
    </row>
    <row r="777" spans="3:3" x14ac:dyDescent="0.2">
      <c r="C777" s="14"/>
    </row>
    <row r="778" spans="3:3" x14ac:dyDescent="0.2">
      <c r="C778" s="14"/>
    </row>
    <row r="779" spans="3:3" x14ac:dyDescent="0.2">
      <c r="C779" s="14"/>
    </row>
    <row r="780" spans="3:3" x14ac:dyDescent="0.2">
      <c r="C780" s="14"/>
    </row>
    <row r="781" spans="3:3" x14ac:dyDescent="0.2">
      <c r="C781" s="14"/>
    </row>
    <row r="782" spans="3:3" x14ac:dyDescent="0.2">
      <c r="C782" s="14"/>
    </row>
    <row r="783" spans="3:3" x14ac:dyDescent="0.2">
      <c r="C783" s="14"/>
    </row>
    <row r="784" spans="3:3" x14ac:dyDescent="0.2">
      <c r="C784" s="14"/>
    </row>
    <row r="785" spans="3:3" x14ac:dyDescent="0.2">
      <c r="C785" s="14"/>
    </row>
    <row r="786" spans="3:3" x14ac:dyDescent="0.2">
      <c r="C786" s="14"/>
    </row>
    <row r="787" spans="3:3" x14ac:dyDescent="0.2">
      <c r="C787" s="14"/>
    </row>
    <row r="788" spans="3:3" x14ac:dyDescent="0.2">
      <c r="C788" s="14"/>
    </row>
    <row r="789" spans="3:3" x14ac:dyDescent="0.2">
      <c r="C789" s="14"/>
    </row>
    <row r="790" spans="3:3" x14ac:dyDescent="0.2">
      <c r="C790" s="14"/>
    </row>
    <row r="791" spans="3:3" x14ac:dyDescent="0.2">
      <c r="C791" s="14"/>
    </row>
    <row r="792" spans="3:3" x14ac:dyDescent="0.2">
      <c r="C792" s="14"/>
    </row>
    <row r="793" spans="3:3" x14ac:dyDescent="0.2">
      <c r="C793" s="14"/>
    </row>
    <row r="794" spans="3:3" x14ac:dyDescent="0.2">
      <c r="C794" s="14"/>
    </row>
    <row r="795" spans="3:3" x14ac:dyDescent="0.2">
      <c r="C795" s="14"/>
    </row>
    <row r="796" spans="3:3" x14ac:dyDescent="0.2">
      <c r="C796" s="14"/>
    </row>
    <row r="797" spans="3:3" x14ac:dyDescent="0.2">
      <c r="C797" s="14"/>
    </row>
    <row r="798" spans="3:3" x14ac:dyDescent="0.2">
      <c r="C798" s="14"/>
    </row>
    <row r="799" spans="3:3" x14ac:dyDescent="0.2">
      <c r="C799" s="14"/>
    </row>
    <row r="800" spans="3:3" x14ac:dyDescent="0.2">
      <c r="C800" s="14"/>
    </row>
    <row r="801" spans="3:3" x14ac:dyDescent="0.2">
      <c r="C801" s="14"/>
    </row>
    <row r="802" spans="3:3" x14ac:dyDescent="0.2">
      <c r="C802" s="14"/>
    </row>
    <row r="803" spans="3:3" x14ac:dyDescent="0.2">
      <c r="C803" s="14"/>
    </row>
    <row r="804" spans="3:3" x14ac:dyDescent="0.2">
      <c r="C804" s="14"/>
    </row>
    <row r="805" spans="3:3" x14ac:dyDescent="0.2">
      <c r="C805" s="14"/>
    </row>
    <row r="806" spans="3:3" x14ac:dyDescent="0.2">
      <c r="C806" s="14"/>
    </row>
    <row r="807" spans="3:3" x14ac:dyDescent="0.2">
      <c r="C807" s="14"/>
    </row>
    <row r="808" spans="3:3" x14ac:dyDescent="0.2">
      <c r="C808" s="14"/>
    </row>
    <row r="809" spans="3:3" x14ac:dyDescent="0.2">
      <c r="C809" s="14"/>
    </row>
    <row r="810" spans="3:3" x14ac:dyDescent="0.2">
      <c r="C810" s="14"/>
    </row>
    <row r="811" spans="3:3" x14ac:dyDescent="0.2">
      <c r="C811" s="14"/>
    </row>
    <row r="812" spans="3:3" x14ac:dyDescent="0.2">
      <c r="C812" s="14"/>
    </row>
    <row r="813" spans="3:3" x14ac:dyDescent="0.2">
      <c r="C813" s="14"/>
    </row>
    <row r="814" spans="3:3" x14ac:dyDescent="0.2">
      <c r="C814" s="14"/>
    </row>
    <row r="815" spans="3:3" x14ac:dyDescent="0.2">
      <c r="C815" s="14"/>
    </row>
    <row r="816" spans="3:3" x14ac:dyDescent="0.2">
      <c r="C816" s="14"/>
    </row>
    <row r="817" spans="2:3" x14ac:dyDescent="0.2">
      <c r="C817" s="14"/>
    </row>
    <row r="818" spans="2:3" x14ac:dyDescent="0.2">
      <c r="C818" s="14"/>
    </row>
    <row r="819" spans="2:3" x14ac:dyDescent="0.2">
      <c r="C819" s="14"/>
    </row>
    <row r="820" spans="2:3" x14ac:dyDescent="0.2">
      <c r="C820" s="14"/>
    </row>
    <row r="822" spans="2:3" x14ac:dyDescent="0.2">
      <c r="B822" s="3"/>
      <c r="C822" s="14"/>
    </row>
    <row r="823" spans="2:3" x14ac:dyDescent="0.2">
      <c r="C823" s="14"/>
    </row>
    <row r="824" spans="2:3" x14ac:dyDescent="0.2">
      <c r="C824" s="14"/>
    </row>
    <row r="825" spans="2:3" x14ac:dyDescent="0.2">
      <c r="C825" s="14"/>
    </row>
    <row r="826" spans="2:3" x14ac:dyDescent="0.2">
      <c r="C826" s="14"/>
    </row>
    <row r="827" spans="2:3" x14ac:dyDescent="0.2">
      <c r="C827" s="14"/>
    </row>
    <row r="828" spans="2:3" x14ac:dyDescent="0.2">
      <c r="C828" s="14"/>
    </row>
    <row r="829" spans="2:3" x14ac:dyDescent="0.2">
      <c r="C829" s="14"/>
    </row>
    <row r="830" spans="2:3" x14ac:dyDescent="0.2">
      <c r="C830" s="14"/>
    </row>
    <row r="831" spans="2:3" x14ac:dyDescent="0.2">
      <c r="C831" s="14"/>
    </row>
    <row r="832" spans="2:3" x14ac:dyDescent="0.2">
      <c r="C832" s="14"/>
    </row>
    <row r="833" spans="2:3" x14ac:dyDescent="0.2">
      <c r="C833" s="14"/>
    </row>
    <row r="834" spans="2:3" x14ac:dyDescent="0.2">
      <c r="C834" s="14"/>
    </row>
    <row r="835" spans="2:3" x14ac:dyDescent="0.2">
      <c r="C835" s="14"/>
    </row>
    <row r="836" spans="2:3" x14ac:dyDescent="0.2">
      <c r="C836" s="14"/>
    </row>
    <row r="837" spans="2:3" x14ac:dyDescent="0.2">
      <c r="C837" s="14"/>
    </row>
    <row r="838" spans="2:3" x14ac:dyDescent="0.2">
      <c r="C838" s="14"/>
    </row>
    <row r="839" spans="2:3" x14ac:dyDescent="0.2">
      <c r="C839" s="14"/>
    </row>
    <row r="840" spans="2:3" x14ac:dyDescent="0.2">
      <c r="C840" s="14"/>
    </row>
    <row r="841" spans="2:3" x14ac:dyDescent="0.2">
      <c r="C841" s="14"/>
    </row>
    <row r="842" spans="2:3" x14ac:dyDescent="0.2">
      <c r="C842" s="14"/>
    </row>
    <row r="844" spans="2:3" x14ac:dyDescent="0.2">
      <c r="B844" s="3"/>
      <c r="C844" s="14"/>
    </row>
    <row r="845" spans="2:3" x14ac:dyDescent="0.2">
      <c r="C845" s="14"/>
    </row>
    <row r="846" spans="2:3" x14ac:dyDescent="0.2">
      <c r="C846" s="14"/>
    </row>
    <row r="847" spans="2:3" x14ac:dyDescent="0.2">
      <c r="C847" s="14"/>
    </row>
    <row r="848" spans="2:3" x14ac:dyDescent="0.2">
      <c r="C848" s="14"/>
    </row>
    <row r="849" spans="3:3" x14ac:dyDescent="0.2">
      <c r="C849" s="14"/>
    </row>
    <row r="850" spans="3:3" x14ac:dyDescent="0.2">
      <c r="C850" s="14"/>
    </row>
    <row r="851" spans="3:3" x14ac:dyDescent="0.2">
      <c r="C851" s="14"/>
    </row>
    <row r="852" spans="3:3" x14ac:dyDescent="0.2">
      <c r="C852" s="14"/>
    </row>
    <row r="853" spans="3:3" x14ac:dyDescent="0.2">
      <c r="C853" s="14"/>
    </row>
    <row r="854" spans="3:3" x14ac:dyDescent="0.2">
      <c r="C854" s="14"/>
    </row>
    <row r="855" spans="3:3" x14ac:dyDescent="0.2">
      <c r="C855" s="14"/>
    </row>
    <row r="856" spans="3:3" x14ac:dyDescent="0.2">
      <c r="C856" s="14"/>
    </row>
    <row r="857" spans="3:3" x14ac:dyDescent="0.2">
      <c r="C857" s="14"/>
    </row>
    <row r="858" spans="3:3" x14ac:dyDescent="0.2">
      <c r="C858" s="14"/>
    </row>
    <row r="859" spans="3:3" x14ac:dyDescent="0.2">
      <c r="C859" s="14"/>
    </row>
    <row r="860" spans="3:3" x14ac:dyDescent="0.2">
      <c r="C860" s="14"/>
    </row>
    <row r="861" spans="3:3" x14ac:dyDescent="0.2">
      <c r="C861" s="14"/>
    </row>
    <row r="862" spans="3:3" x14ac:dyDescent="0.2">
      <c r="C862" s="14"/>
    </row>
    <row r="864" spans="3:3" x14ac:dyDescent="0.2">
      <c r="C864" s="14"/>
    </row>
    <row r="865" spans="2:3" x14ac:dyDescent="0.2">
      <c r="C865" s="14"/>
    </row>
    <row r="866" spans="2:3" x14ac:dyDescent="0.2">
      <c r="C866" s="14"/>
    </row>
    <row r="867" spans="2:3" x14ac:dyDescent="0.2">
      <c r="C867" s="14"/>
    </row>
    <row r="868" spans="2:3" x14ac:dyDescent="0.2">
      <c r="C868" s="14"/>
    </row>
    <row r="869" spans="2:3" x14ac:dyDescent="0.2">
      <c r="C869" s="14"/>
    </row>
    <row r="870" spans="2:3" x14ac:dyDescent="0.2">
      <c r="C870" s="14"/>
    </row>
    <row r="871" spans="2:3" x14ac:dyDescent="0.2">
      <c r="C871" s="14"/>
    </row>
    <row r="872" spans="2:3" x14ac:dyDescent="0.2">
      <c r="C872" s="14"/>
    </row>
    <row r="873" spans="2:3" x14ac:dyDescent="0.2">
      <c r="C873" s="14"/>
    </row>
    <row r="874" spans="2:3" x14ac:dyDescent="0.2">
      <c r="C874" s="14"/>
    </row>
    <row r="875" spans="2:3" x14ac:dyDescent="0.2">
      <c r="C875" s="14"/>
    </row>
    <row r="876" spans="2:3" x14ac:dyDescent="0.2">
      <c r="C876" s="14"/>
    </row>
    <row r="878" spans="2:3" x14ac:dyDescent="0.2">
      <c r="B878" s="3"/>
      <c r="C878" s="14"/>
    </row>
    <row r="879" spans="2:3" x14ac:dyDescent="0.2">
      <c r="C879" s="14"/>
    </row>
    <row r="880" spans="2:3" x14ac:dyDescent="0.2">
      <c r="C880" s="14"/>
    </row>
    <row r="881" spans="3:3" x14ac:dyDescent="0.2">
      <c r="C881" s="14"/>
    </row>
    <row r="882" spans="3:3" x14ac:dyDescent="0.2">
      <c r="C882" s="14"/>
    </row>
    <row r="883" spans="3:3" x14ac:dyDescent="0.2">
      <c r="C883" s="14"/>
    </row>
    <row r="884" spans="3:3" x14ac:dyDescent="0.2">
      <c r="C884" s="14"/>
    </row>
    <row r="885" spans="3:3" x14ac:dyDescent="0.2">
      <c r="C885" s="14"/>
    </row>
    <row r="886" spans="3:3" x14ac:dyDescent="0.2">
      <c r="C886" s="14"/>
    </row>
    <row r="887" spans="3:3" x14ac:dyDescent="0.2">
      <c r="C887" s="14"/>
    </row>
    <row r="888" spans="3:3" x14ac:dyDescent="0.2">
      <c r="C888" s="14"/>
    </row>
    <row r="889" spans="3:3" x14ac:dyDescent="0.2">
      <c r="C889" s="14"/>
    </row>
    <row r="890" spans="3:3" x14ac:dyDescent="0.2">
      <c r="C890" s="14"/>
    </row>
    <row r="891" spans="3:3" x14ac:dyDescent="0.2">
      <c r="C891" s="14"/>
    </row>
    <row r="892" spans="3:3" x14ac:dyDescent="0.2">
      <c r="C892" s="14"/>
    </row>
    <row r="893" spans="3:3" x14ac:dyDescent="0.2">
      <c r="C893" s="14"/>
    </row>
    <row r="894" spans="3:3" x14ac:dyDescent="0.2">
      <c r="C894" s="14"/>
    </row>
    <row r="895" spans="3:3" x14ac:dyDescent="0.2">
      <c r="C895" s="14"/>
    </row>
    <row r="896" spans="3:3" x14ac:dyDescent="0.2">
      <c r="C896" s="14"/>
    </row>
    <row r="897" spans="3:3" x14ac:dyDescent="0.2">
      <c r="C897" s="14"/>
    </row>
    <row r="898" spans="3:3" x14ac:dyDescent="0.2">
      <c r="C898" s="14"/>
    </row>
    <row r="899" spans="3:3" x14ac:dyDescent="0.2">
      <c r="C899" s="14"/>
    </row>
    <row r="900" spans="3:3" x14ac:dyDescent="0.2">
      <c r="C900" s="14"/>
    </row>
    <row r="901" spans="3:3" x14ac:dyDescent="0.2">
      <c r="C901" s="14"/>
    </row>
    <row r="902" spans="3:3" x14ac:dyDescent="0.2">
      <c r="C902" s="14"/>
    </row>
    <row r="903" spans="3:3" x14ac:dyDescent="0.2">
      <c r="C903" s="14"/>
    </row>
    <row r="904" spans="3:3" x14ac:dyDescent="0.2">
      <c r="C904" s="14"/>
    </row>
    <row r="905" spans="3:3" x14ac:dyDescent="0.2">
      <c r="C905" s="14"/>
    </row>
    <row r="906" spans="3:3" x14ac:dyDescent="0.2">
      <c r="C906" s="14"/>
    </row>
    <row r="907" spans="3:3" x14ac:dyDescent="0.2">
      <c r="C907" s="14"/>
    </row>
    <row r="908" spans="3:3" x14ac:dyDescent="0.2">
      <c r="C908" s="14"/>
    </row>
    <row r="909" spans="3:3" x14ac:dyDescent="0.2">
      <c r="C909" s="14"/>
    </row>
    <row r="910" spans="3:3" x14ac:dyDescent="0.2">
      <c r="C910" s="14"/>
    </row>
    <row r="911" spans="3:3" x14ac:dyDescent="0.2">
      <c r="C911" s="14"/>
    </row>
    <row r="912" spans="3:3" x14ac:dyDescent="0.2">
      <c r="C912" s="14"/>
    </row>
    <row r="913" spans="2:3" x14ac:dyDescent="0.2">
      <c r="C913" s="14"/>
    </row>
    <row r="914" spans="2:3" x14ac:dyDescent="0.2">
      <c r="C914" s="14"/>
    </row>
    <row r="915" spans="2:3" x14ac:dyDescent="0.2">
      <c r="C915" s="14"/>
    </row>
    <row r="917" spans="2:3" x14ac:dyDescent="0.2">
      <c r="B917" s="3"/>
      <c r="C917" s="14"/>
    </row>
    <row r="918" spans="2:3" x14ac:dyDescent="0.2">
      <c r="C918" s="14"/>
    </row>
    <row r="919" spans="2:3" x14ac:dyDescent="0.2">
      <c r="C919" s="14"/>
    </row>
    <row r="920" spans="2:3" x14ac:dyDescent="0.2">
      <c r="C920" s="14"/>
    </row>
    <row r="922" spans="2:3" x14ac:dyDescent="0.2">
      <c r="C922" s="14"/>
    </row>
    <row r="923" spans="2:3" x14ac:dyDescent="0.2">
      <c r="C923" s="14"/>
    </row>
    <row r="924" spans="2:3" x14ac:dyDescent="0.2">
      <c r="C924" s="14"/>
    </row>
    <row r="925" spans="2:3" x14ac:dyDescent="0.2">
      <c r="C925" s="14"/>
    </row>
    <row r="926" spans="2:3" x14ac:dyDescent="0.2">
      <c r="C926" s="14"/>
    </row>
    <row r="927" spans="2:3" x14ac:dyDescent="0.2">
      <c r="C927" s="14"/>
    </row>
    <row r="928" spans="2:3" x14ac:dyDescent="0.2">
      <c r="C928" s="14"/>
    </row>
    <row r="929" spans="2:3" x14ac:dyDescent="0.2">
      <c r="C929" s="14"/>
    </row>
    <row r="930" spans="2:3" x14ac:dyDescent="0.2">
      <c r="C930" s="14"/>
    </row>
    <row r="931" spans="2:3" x14ac:dyDescent="0.2">
      <c r="C931" s="14"/>
    </row>
    <row r="932" spans="2:3" x14ac:dyDescent="0.2">
      <c r="C932" s="14"/>
    </row>
    <row r="933" spans="2:3" x14ac:dyDescent="0.2">
      <c r="C933" s="14"/>
    </row>
    <row r="934" spans="2:3" x14ac:dyDescent="0.2">
      <c r="C934" s="14"/>
    </row>
    <row r="935" spans="2:3" x14ac:dyDescent="0.2">
      <c r="C935" s="14"/>
    </row>
    <row r="936" spans="2:3" x14ac:dyDescent="0.2">
      <c r="C936" s="14"/>
    </row>
    <row r="938" spans="2:3" x14ac:dyDescent="0.2">
      <c r="B938" s="3"/>
      <c r="C938" s="14"/>
    </row>
    <row r="939" spans="2:3" x14ac:dyDescent="0.2">
      <c r="C939" s="14"/>
    </row>
    <row r="940" spans="2:3" x14ac:dyDescent="0.2">
      <c r="C940" s="14"/>
    </row>
    <row r="941" spans="2:3" x14ac:dyDescent="0.2">
      <c r="C941" s="14"/>
    </row>
    <row r="942" spans="2:3" x14ac:dyDescent="0.2">
      <c r="C942" s="14"/>
    </row>
    <row r="943" spans="2:3" x14ac:dyDescent="0.2">
      <c r="C943" s="14"/>
    </row>
    <row r="944" spans="2:3" x14ac:dyDescent="0.2">
      <c r="C944" s="14"/>
    </row>
    <row r="945" spans="2:3" x14ac:dyDescent="0.2">
      <c r="C945" s="14"/>
    </row>
    <row r="946" spans="2:3" x14ac:dyDescent="0.2">
      <c r="C946" s="14"/>
    </row>
    <row r="947" spans="2:3" x14ac:dyDescent="0.2">
      <c r="C947" s="14"/>
    </row>
    <row r="948" spans="2:3" x14ac:dyDescent="0.2">
      <c r="C948" s="14"/>
    </row>
    <row r="949" spans="2:3" x14ac:dyDescent="0.2">
      <c r="C949" s="14"/>
    </row>
    <row r="950" spans="2:3" x14ac:dyDescent="0.2">
      <c r="C950" s="14"/>
    </row>
    <row r="951" spans="2:3" x14ac:dyDescent="0.2">
      <c r="C951" s="14"/>
    </row>
    <row r="952" spans="2:3" x14ac:dyDescent="0.2">
      <c r="C952" s="14"/>
    </row>
    <row r="953" spans="2:3" x14ac:dyDescent="0.2">
      <c r="C953" s="14"/>
    </row>
    <row r="954" spans="2:3" x14ac:dyDescent="0.2">
      <c r="C954" s="14"/>
    </row>
    <row r="955" spans="2:3" x14ac:dyDescent="0.2">
      <c r="C955" s="14"/>
    </row>
    <row r="956" spans="2:3" x14ac:dyDescent="0.2">
      <c r="C956" s="14"/>
    </row>
    <row r="957" spans="2:3" x14ac:dyDescent="0.2">
      <c r="C957" s="14"/>
    </row>
    <row r="959" spans="2:3" x14ac:dyDescent="0.2">
      <c r="B959" s="3"/>
      <c r="C959" s="14"/>
    </row>
    <row r="961" spans="3:3" x14ac:dyDescent="0.2">
      <c r="C961" s="14"/>
    </row>
    <row r="963" spans="3:3" x14ac:dyDescent="0.2">
      <c r="C963" s="14"/>
    </row>
    <row r="965" spans="3:3" x14ac:dyDescent="0.2">
      <c r="C965" s="14"/>
    </row>
    <row r="967" spans="3:3" x14ac:dyDescent="0.2">
      <c r="C967" s="14"/>
    </row>
    <row r="969" spans="3:3" x14ac:dyDescent="0.2">
      <c r="C969" s="14"/>
    </row>
    <row r="971" spans="3:3" x14ac:dyDescent="0.2">
      <c r="C971" s="14"/>
    </row>
    <row r="973" spans="3:3" x14ac:dyDescent="0.2">
      <c r="C973" s="14"/>
    </row>
    <row r="975" spans="3:3" x14ac:dyDescent="0.2">
      <c r="C975" s="14"/>
    </row>
    <row r="977" spans="2:8" x14ac:dyDescent="0.2">
      <c r="C977" s="14"/>
    </row>
    <row r="978" spans="2:8" x14ac:dyDescent="0.2">
      <c r="H978" s="5"/>
    </row>
    <row r="979" spans="2:8" x14ac:dyDescent="0.2">
      <c r="C979" s="14"/>
    </row>
    <row r="981" spans="2:8" x14ac:dyDescent="0.2">
      <c r="C981" s="14"/>
    </row>
    <row r="983" spans="2:8" x14ac:dyDescent="0.2">
      <c r="B983" s="3"/>
      <c r="C983" s="14"/>
    </row>
    <row r="985" spans="2:8" x14ac:dyDescent="0.2">
      <c r="C985" s="14"/>
    </row>
    <row r="987" spans="2:8" x14ac:dyDescent="0.2">
      <c r="C987" s="14"/>
    </row>
    <row r="989" spans="2:8" x14ac:dyDescent="0.2">
      <c r="C989" s="14"/>
    </row>
    <row r="991" spans="2:8" x14ac:dyDescent="0.2">
      <c r="C991" s="14"/>
    </row>
    <row r="993" spans="3:3" x14ac:dyDescent="0.2">
      <c r="C993" s="14"/>
    </row>
    <row r="995" spans="3:3" x14ac:dyDescent="0.2">
      <c r="C995" s="14"/>
    </row>
    <row r="997" spans="3:3" x14ac:dyDescent="0.2">
      <c r="C997" s="14"/>
    </row>
    <row r="999" spans="3:3" x14ac:dyDescent="0.2">
      <c r="C999" s="14"/>
    </row>
    <row r="1001" spans="3:3" x14ac:dyDescent="0.2">
      <c r="C1001" s="14"/>
    </row>
    <row r="1003" spans="3:3" x14ac:dyDescent="0.2">
      <c r="C1003" s="14"/>
    </row>
    <row r="1005" spans="3:3" x14ac:dyDescent="0.2">
      <c r="C1005" s="14"/>
    </row>
    <row r="1007" spans="3:3" x14ac:dyDescent="0.2">
      <c r="C1007" s="14"/>
    </row>
    <row r="1009" spans="3:3" x14ac:dyDescent="0.2">
      <c r="C1009" s="14"/>
    </row>
    <row r="1011" spans="3:3" x14ac:dyDescent="0.2">
      <c r="C1011" s="14"/>
    </row>
    <row r="1013" spans="3:3" x14ac:dyDescent="0.2">
      <c r="C1013" s="14"/>
    </row>
    <row r="1015" spans="3:3" x14ac:dyDescent="0.2">
      <c r="C1015" s="14"/>
    </row>
    <row r="1017" spans="3:3" x14ac:dyDescent="0.2">
      <c r="C1017" s="14"/>
    </row>
    <row r="1019" spans="3:3" x14ac:dyDescent="0.2">
      <c r="C1019" s="14"/>
    </row>
    <row r="1021" spans="3:3" x14ac:dyDescent="0.2">
      <c r="C1021" s="14"/>
    </row>
    <row r="1023" spans="3:3" x14ac:dyDescent="0.2">
      <c r="C1023" s="14"/>
    </row>
  </sheetData>
  <phoneticPr fontId="1" type="noConversion"/>
  <pageMargins left="0.75" right="0.75" top="1" bottom="1" header="0.5" footer="0.5"/>
  <pageSetup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N27"/>
  <sheetViews>
    <sheetView workbookViewId="0">
      <pane xSplit="1" ySplit="3" topLeftCell="B4" activePane="bottomRight" state="frozen"/>
      <selection pane="topRight" activeCell="C1" sqref="C1"/>
      <selection pane="bottomLeft" activeCell="A4" sqref="A4"/>
      <selection pane="bottomRight" activeCell="A5" sqref="A5"/>
    </sheetView>
  </sheetViews>
  <sheetFormatPr defaultRowHeight="12.75" x14ac:dyDescent="0.2"/>
  <cols>
    <col min="1" max="1" width="23.5703125" bestFit="1" customWidth="1"/>
    <col min="2" max="9" width="6.85546875" customWidth="1"/>
    <col min="10" max="10" width="7.28515625" customWidth="1"/>
    <col min="11" max="14" width="6.85546875" customWidth="1"/>
    <col min="15" max="15" width="9.140625" customWidth="1"/>
    <col min="16" max="16" width="9.85546875" customWidth="1"/>
    <col min="17" max="17" width="14.140625" customWidth="1"/>
    <col min="18" max="18" width="9.140625" customWidth="1"/>
    <col min="19" max="19" width="9.85546875" customWidth="1"/>
    <col min="20" max="20" width="10.85546875" customWidth="1"/>
    <col min="21" max="21" width="9.140625" customWidth="1"/>
    <col min="22" max="22" width="9.85546875" customWidth="1"/>
    <col min="23" max="24" width="9.140625" customWidth="1"/>
    <col min="25" max="25" width="16" customWidth="1"/>
    <col min="26" max="26" width="15.42578125" customWidth="1"/>
    <col min="27" max="27" width="12.42578125" customWidth="1"/>
    <col min="28" max="28" width="16" bestFit="1" customWidth="1"/>
    <col min="29" max="29" width="16.42578125" bestFit="1" customWidth="1"/>
    <col min="30" max="30" width="5" bestFit="1" customWidth="1"/>
    <col min="31" max="31" width="12.7109375" bestFit="1" customWidth="1"/>
    <col min="32" max="33" width="11.5703125" bestFit="1" customWidth="1"/>
    <col min="34" max="34" width="10.28515625" bestFit="1" customWidth="1"/>
    <col min="35" max="35" width="12.7109375" bestFit="1" customWidth="1"/>
    <col min="36" max="36" width="11.42578125" bestFit="1" customWidth="1"/>
    <col min="37" max="37" width="11.42578125" customWidth="1"/>
    <col min="38" max="38" width="10.85546875" bestFit="1" customWidth="1"/>
    <col min="39" max="39" width="8.5703125" bestFit="1" customWidth="1"/>
    <col min="40" max="40" width="31.5703125" style="17" bestFit="1" customWidth="1"/>
  </cols>
  <sheetData>
    <row r="1" spans="1:40" s="6" customFormat="1" x14ac:dyDescent="0.2">
      <c r="B1" s="29" t="s">
        <v>26</v>
      </c>
      <c r="C1" s="30"/>
      <c r="D1" s="30"/>
      <c r="E1" s="30"/>
      <c r="F1" s="30"/>
      <c r="G1" s="30"/>
      <c r="H1" s="30"/>
      <c r="I1" s="30"/>
      <c r="J1" s="30"/>
      <c r="K1" s="30"/>
      <c r="L1" s="30"/>
      <c r="M1" s="30"/>
      <c r="N1" s="31"/>
      <c r="O1" s="29" t="s">
        <v>27</v>
      </c>
      <c r="P1" s="30"/>
      <c r="Q1" s="30"/>
      <c r="R1" s="30"/>
      <c r="S1" s="30"/>
      <c r="T1" s="30"/>
      <c r="U1" s="30"/>
      <c r="V1" s="30"/>
      <c r="W1" s="30"/>
      <c r="X1" s="31"/>
      <c r="Y1" s="29" t="s">
        <v>62</v>
      </c>
      <c r="Z1" s="30"/>
      <c r="AA1" s="30"/>
      <c r="AB1" s="30"/>
      <c r="AC1" s="30"/>
      <c r="AD1" s="30"/>
      <c r="AE1" s="30"/>
      <c r="AF1" s="30"/>
      <c r="AG1" s="30"/>
      <c r="AH1" s="30"/>
      <c r="AI1" s="30"/>
      <c r="AJ1" s="30"/>
      <c r="AK1" s="30"/>
      <c r="AL1" s="30"/>
      <c r="AM1" s="30"/>
      <c r="AN1" s="17"/>
    </row>
    <row r="2" spans="1:40" s="6" customFormat="1" x14ac:dyDescent="0.2">
      <c r="B2" s="32" t="s">
        <v>28</v>
      </c>
      <c r="C2" s="33"/>
      <c r="D2" s="33"/>
      <c r="E2" s="34"/>
      <c r="F2" s="32" t="s">
        <v>29</v>
      </c>
      <c r="G2" s="33" t="s">
        <v>30</v>
      </c>
      <c r="H2" s="33"/>
      <c r="I2" s="34"/>
      <c r="J2" s="32" t="s">
        <v>31</v>
      </c>
      <c r="K2" s="33" t="s">
        <v>32</v>
      </c>
      <c r="L2" s="33"/>
      <c r="M2" s="33"/>
      <c r="N2" s="34"/>
      <c r="O2" s="27" t="s">
        <v>33</v>
      </c>
      <c r="P2" s="28"/>
      <c r="Q2" s="27" t="s">
        <v>34</v>
      </c>
      <c r="R2" s="35"/>
      <c r="S2" s="28"/>
      <c r="T2" s="27" t="s">
        <v>35</v>
      </c>
      <c r="U2" s="35"/>
      <c r="V2" s="28"/>
      <c r="W2" s="27" t="s">
        <v>36</v>
      </c>
      <c r="X2" s="28"/>
      <c r="Y2" s="29" t="s">
        <v>37</v>
      </c>
      <c r="Z2" s="30"/>
      <c r="AA2" s="30"/>
      <c r="AB2" s="31"/>
      <c r="AC2" s="29" t="s">
        <v>38</v>
      </c>
      <c r="AD2" s="30"/>
      <c r="AE2" s="30"/>
      <c r="AF2" s="30"/>
      <c r="AG2" s="30"/>
      <c r="AH2" s="30"/>
      <c r="AI2" s="30"/>
      <c r="AJ2" s="30"/>
      <c r="AK2" s="30"/>
      <c r="AL2" s="31"/>
      <c r="AM2" s="15"/>
      <c r="AN2" s="17"/>
    </row>
    <row r="3" spans="1:40" s="6" customFormat="1" x14ac:dyDescent="0.2">
      <c r="A3" s="6" t="s">
        <v>15</v>
      </c>
      <c r="B3" s="9" t="s">
        <v>1</v>
      </c>
      <c r="C3" s="7" t="s">
        <v>39</v>
      </c>
      <c r="D3" s="7" t="s">
        <v>40</v>
      </c>
      <c r="E3" s="8" t="s">
        <v>41</v>
      </c>
      <c r="F3" s="9" t="s">
        <v>1</v>
      </c>
      <c r="G3" s="7" t="s">
        <v>39</v>
      </c>
      <c r="H3" s="7" t="s">
        <v>40</v>
      </c>
      <c r="I3" s="8" t="s">
        <v>41</v>
      </c>
      <c r="J3" s="9" t="s">
        <v>1</v>
      </c>
      <c r="K3" s="7" t="s">
        <v>39</v>
      </c>
      <c r="L3" s="7" t="s">
        <v>40</v>
      </c>
      <c r="M3" s="7" t="s">
        <v>79</v>
      </c>
      <c r="N3" s="8" t="s">
        <v>41</v>
      </c>
      <c r="O3" s="10" t="s">
        <v>42</v>
      </c>
      <c r="P3" s="11" t="s">
        <v>43</v>
      </c>
      <c r="Q3" s="10" t="s">
        <v>44</v>
      </c>
      <c r="R3" s="6" t="s">
        <v>42</v>
      </c>
      <c r="S3" s="11" t="s">
        <v>43</v>
      </c>
      <c r="T3" s="10" t="s">
        <v>44</v>
      </c>
      <c r="U3" s="6" t="s">
        <v>42</v>
      </c>
      <c r="V3" s="11" t="s">
        <v>43</v>
      </c>
      <c r="W3" s="11" t="s">
        <v>42</v>
      </c>
      <c r="X3" s="6" t="s">
        <v>170</v>
      </c>
      <c r="Y3" s="10" t="s">
        <v>45</v>
      </c>
      <c r="Z3" s="6" t="s">
        <v>12</v>
      </c>
      <c r="AA3" s="6" t="s">
        <v>46</v>
      </c>
      <c r="AB3" s="11" t="s">
        <v>11</v>
      </c>
      <c r="AC3" s="9" t="s">
        <v>47</v>
      </c>
      <c r="AD3" s="7" t="s">
        <v>48</v>
      </c>
      <c r="AE3" s="7" t="s">
        <v>49</v>
      </c>
      <c r="AF3" s="7" t="s">
        <v>23</v>
      </c>
      <c r="AG3" s="7" t="s">
        <v>24</v>
      </c>
      <c r="AH3" s="7" t="s">
        <v>50</v>
      </c>
      <c r="AI3" s="7" t="s">
        <v>51</v>
      </c>
      <c r="AJ3" s="7" t="s">
        <v>52</v>
      </c>
      <c r="AK3" s="7" t="s">
        <v>5</v>
      </c>
      <c r="AL3" s="8" t="s">
        <v>53</v>
      </c>
      <c r="AM3" s="16" t="s">
        <v>71</v>
      </c>
      <c r="AN3" s="17" t="s">
        <v>6</v>
      </c>
    </row>
    <row r="4" spans="1:40" x14ac:dyDescent="0.2">
      <c r="A4" s="5" t="s">
        <v>84</v>
      </c>
      <c r="B4" s="12" t="s">
        <v>54</v>
      </c>
      <c r="C4">
        <v>3</v>
      </c>
      <c r="D4">
        <v>10</v>
      </c>
      <c r="E4" s="13" t="s">
        <v>55</v>
      </c>
      <c r="F4" s="12" t="s">
        <v>54</v>
      </c>
      <c r="G4">
        <v>3</v>
      </c>
      <c r="H4">
        <v>5</v>
      </c>
      <c r="I4" s="13" t="s">
        <v>55</v>
      </c>
      <c r="J4" s="12" t="s">
        <v>56</v>
      </c>
      <c r="K4">
        <v>-30</v>
      </c>
      <c r="L4">
        <v>5</v>
      </c>
      <c r="M4">
        <v>7</v>
      </c>
      <c r="N4" s="18" t="s">
        <v>74</v>
      </c>
      <c r="O4" s="12">
        <v>-25</v>
      </c>
      <c r="P4" s="13">
        <v>100</v>
      </c>
      <c r="Q4" s="12" t="s">
        <v>57</v>
      </c>
      <c r="R4">
        <v>-14</v>
      </c>
      <c r="S4" s="13" t="s">
        <v>77</v>
      </c>
      <c r="T4" s="12" t="s">
        <v>58</v>
      </c>
      <c r="U4">
        <v>-57</v>
      </c>
      <c r="V4" s="13">
        <v>111</v>
      </c>
      <c r="W4">
        <v>-25</v>
      </c>
      <c r="X4">
        <v>0</v>
      </c>
      <c r="Y4" s="12" t="s">
        <v>19</v>
      </c>
      <c r="Z4" t="s">
        <v>64</v>
      </c>
      <c r="AA4" t="s">
        <v>75</v>
      </c>
      <c r="AB4" s="13" t="s">
        <v>18</v>
      </c>
      <c r="AC4" s="12" t="s">
        <v>20</v>
      </c>
      <c r="AD4" t="s">
        <v>21</v>
      </c>
      <c r="AE4" t="s">
        <v>63</v>
      </c>
      <c r="AF4" t="s">
        <v>70</v>
      </c>
      <c r="AG4" t="s">
        <v>70</v>
      </c>
      <c r="AH4" t="s">
        <v>59</v>
      </c>
      <c r="AI4" t="s">
        <v>60</v>
      </c>
      <c r="AJ4" t="s">
        <v>25</v>
      </c>
      <c r="AK4" t="s">
        <v>82</v>
      </c>
      <c r="AL4">
        <v>-50</v>
      </c>
      <c r="AM4">
        <v>1</v>
      </c>
      <c r="AN4" s="17" t="s">
        <v>95</v>
      </c>
    </row>
    <row r="5" spans="1:40" x14ac:dyDescent="0.2">
      <c r="A5" s="5" t="s">
        <v>101</v>
      </c>
      <c r="B5" s="12" t="s">
        <v>54</v>
      </c>
      <c r="C5">
        <v>3</v>
      </c>
      <c r="D5">
        <v>10</v>
      </c>
      <c r="E5" s="13" t="s">
        <v>55</v>
      </c>
      <c r="F5" s="12" t="s">
        <v>54</v>
      </c>
      <c r="G5">
        <v>3</v>
      </c>
      <c r="H5">
        <v>5</v>
      </c>
      <c r="I5" s="13" t="s">
        <v>55</v>
      </c>
      <c r="J5" s="12" t="s">
        <v>56</v>
      </c>
      <c r="K5">
        <v>-30</v>
      </c>
      <c r="L5">
        <v>5</v>
      </c>
      <c r="M5">
        <v>7</v>
      </c>
      <c r="N5" s="18" t="s">
        <v>74</v>
      </c>
      <c r="O5" s="12">
        <v>-25</v>
      </c>
      <c r="P5" s="13">
        <v>100</v>
      </c>
      <c r="Q5" s="12" t="s">
        <v>57</v>
      </c>
      <c r="R5">
        <v>-14</v>
      </c>
      <c r="S5" s="13" t="s">
        <v>77</v>
      </c>
      <c r="T5" s="12" t="s">
        <v>58</v>
      </c>
      <c r="U5">
        <v>-57</v>
      </c>
      <c r="V5" s="13">
        <v>111</v>
      </c>
      <c r="W5">
        <v>-25</v>
      </c>
      <c r="X5">
        <v>0</v>
      </c>
      <c r="Y5" s="12" t="s">
        <v>19</v>
      </c>
      <c r="Z5" t="s">
        <v>64</v>
      </c>
      <c r="AA5" t="s">
        <v>75</v>
      </c>
      <c r="AB5" s="13" t="s">
        <v>18</v>
      </c>
      <c r="AC5" s="12" t="s">
        <v>20</v>
      </c>
      <c r="AD5" t="s">
        <v>21</v>
      </c>
      <c r="AE5" t="s">
        <v>63</v>
      </c>
      <c r="AF5" t="s">
        <v>70</v>
      </c>
      <c r="AG5" t="s">
        <v>70</v>
      </c>
      <c r="AH5" t="s">
        <v>59</v>
      </c>
      <c r="AI5" t="s">
        <v>60</v>
      </c>
      <c r="AJ5" t="s">
        <v>25</v>
      </c>
      <c r="AK5" t="s">
        <v>82</v>
      </c>
      <c r="AL5">
        <v>-50</v>
      </c>
      <c r="AM5">
        <v>1</v>
      </c>
      <c r="AN5" s="17" t="s">
        <v>95</v>
      </c>
    </row>
    <row r="6" spans="1:40" x14ac:dyDescent="0.2">
      <c r="A6" s="5" t="s">
        <v>104</v>
      </c>
      <c r="B6" s="12" t="s">
        <v>54</v>
      </c>
      <c r="C6">
        <v>3</v>
      </c>
      <c r="D6">
        <v>10</v>
      </c>
      <c r="E6" s="13" t="s">
        <v>55</v>
      </c>
      <c r="F6" s="12" t="s">
        <v>54</v>
      </c>
      <c r="G6">
        <v>3</v>
      </c>
      <c r="H6">
        <v>5</v>
      </c>
      <c r="I6" s="13" t="s">
        <v>55</v>
      </c>
      <c r="J6" s="12" t="s">
        <v>56</v>
      </c>
      <c r="K6">
        <v>-30</v>
      </c>
      <c r="L6">
        <v>5</v>
      </c>
      <c r="M6">
        <v>7</v>
      </c>
      <c r="N6" s="18" t="s">
        <v>74</v>
      </c>
      <c r="O6" s="12">
        <v>-25</v>
      </c>
      <c r="P6" s="13">
        <v>100</v>
      </c>
      <c r="Q6" s="12" t="s">
        <v>57</v>
      </c>
      <c r="R6">
        <v>-14</v>
      </c>
      <c r="S6" s="13" t="s">
        <v>77</v>
      </c>
      <c r="T6" s="12" t="s">
        <v>58</v>
      </c>
      <c r="U6">
        <v>-57</v>
      </c>
      <c r="V6" s="13">
        <v>111</v>
      </c>
      <c r="W6">
        <v>-25</v>
      </c>
      <c r="X6">
        <v>0</v>
      </c>
      <c r="Y6" s="12" t="s">
        <v>19</v>
      </c>
      <c r="Z6" t="s">
        <v>64</v>
      </c>
      <c r="AA6" t="s">
        <v>75</v>
      </c>
      <c r="AB6" s="13" t="s">
        <v>18</v>
      </c>
      <c r="AC6" s="12" t="s">
        <v>20</v>
      </c>
      <c r="AD6" t="s">
        <v>21</v>
      </c>
      <c r="AE6" t="s">
        <v>63</v>
      </c>
      <c r="AF6" t="s">
        <v>70</v>
      </c>
      <c r="AG6" t="s">
        <v>70</v>
      </c>
      <c r="AH6" t="s">
        <v>59</v>
      </c>
      <c r="AI6" t="s">
        <v>60</v>
      </c>
      <c r="AJ6" t="s">
        <v>25</v>
      </c>
      <c r="AK6" t="s">
        <v>82</v>
      </c>
      <c r="AL6">
        <v>-50</v>
      </c>
      <c r="AM6">
        <v>1</v>
      </c>
      <c r="AN6" s="17" t="s">
        <v>95</v>
      </c>
    </row>
    <row r="7" spans="1:40" x14ac:dyDescent="0.2">
      <c r="A7" s="5" t="s">
        <v>109</v>
      </c>
      <c r="B7" s="12" t="s">
        <v>54</v>
      </c>
      <c r="C7">
        <v>3</v>
      </c>
      <c r="D7">
        <v>10</v>
      </c>
      <c r="E7" s="13" t="s">
        <v>55</v>
      </c>
      <c r="F7" s="12" t="s">
        <v>54</v>
      </c>
      <c r="G7">
        <v>3</v>
      </c>
      <c r="H7">
        <v>5</v>
      </c>
      <c r="I7" s="13" t="s">
        <v>55</v>
      </c>
      <c r="J7" s="12" t="s">
        <v>56</v>
      </c>
      <c r="K7">
        <v>-30</v>
      </c>
      <c r="L7">
        <v>5</v>
      </c>
      <c r="M7">
        <v>7</v>
      </c>
      <c r="N7" s="18" t="s">
        <v>74</v>
      </c>
      <c r="O7" s="12">
        <v>-25</v>
      </c>
      <c r="P7" s="13">
        <v>100</v>
      </c>
      <c r="Q7" s="12" t="s">
        <v>57</v>
      </c>
      <c r="R7">
        <v>-14</v>
      </c>
      <c r="S7" s="13" t="s">
        <v>77</v>
      </c>
      <c r="T7" s="12" t="s">
        <v>58</v>
      </c>
      <c r="U7">
        <v>-57</v>
      </c>
      <c r="V7" s="13">
        <v>111</v>
      </c>
      <c r="W7">
        <v>-25</v>
      </c>
      <c r="X7">
        <v>0</v>
      </c>
      <c r="Y7" s="12" t="s">
        <v>19</v>
      </c>
      <c r="Z7" t="s">
        <v>64</v>
      </c>
      <c r="AA7" t="s">
        <v>75</v>
      </c>
      <c r="AB7" s="13" t="s">
        <v>18</v>
      </c>
      <c r="AC7" s="12" t="s">
        <v>20</v>
      </c>
      <c r="AD7" t="s">
        <v>21</v>
      </c>
      <c r="AE7" t="s">
        <v>63</v>
      </c>
      <c r="AF7" t="s">
        <v>70</v>
      </c>
      <c r="AG7" t="s">
        <v>70</v>
      </c>
      <c r="AH7" t="s">
        <v>59</v>
      </c>
      <c r="AI7" t="s">
        <v>60</v>
      </c>
      <c r="AJ7" t="s">
        <v>25</v>
      </c>
      <c r="AK7" t="s">
        <v>82</v>
      </c>
      <c r="AL7">
        <v>-50</v>
      </c>
      <c r="AM7">
        <v>1</v>
      </c>
      <c r="AN7" s="17" t="s">
        <v>95</v>
      </c>
    </row>
    <row r="8" spans="1:40" x14ac:dyDescent="0.2">
      <c r="A8" s="5" t="s">
        <v>112</v>
      </c>
      <c r="B8" s="12" t="s">
        <v>54</v>
      </c>
      <c r="C8">
        <v>3</v>
      </c>
      <c r="D8">
        <v>10</v>
      </c>
      <c r="E8" s="13" t="s">
        <v>55</v>
      </c>
      <c r="F8" s="12" t="s">
        <v>54</v>
      </c>
      <c r="G8">
        <v>3</v>
      </c>
      <c r="H8">
        <v>5</v>
      </c>
      <c r="I8" s="13" t="s">
        <v>55</v>
      </c>
      <c r="J8" s="12" t="s">
        <v>56</v>
      </c>
      <c r="K8">
        <v>-30</v>
      </c>
      <c r="L8">
        <v>5</v>
      </c>
      <c r="M8">
        <v>7</v>
      </c>
      <c r="N8" s="18" t="s">
        <v>74</v>
      </c>
      <c r="O8" s="12">
        <v>-25</v>
      </c>
      <c r="P8" s="13">
        <v>100</v>
      </c>
      <c r="Q8" s="12" t="s">
        <v>57</v>
      </c>
      <c r="R8">
        <v>-14</v>
      </c>
      <c r="S8" s="13" t="s">
        <v>77</v>
      </c>
      <c r="T8" s="12" t="s">
        <v>58</v>
      </c>
      <c r="U8">
        <v>-57</v>
      </c>
      <c r="V8" s="13">
        <v>111</v>
      </c>
      <c r="W8">
        <v>-25</v>
      </c>
      <c r="X8">
        <v>0</v>
      </c>
      <c r="Y8" s="12" t="s">
        <v>19</v>
      </c>
      <c r="Z8" t="s">
        <v>64</v>
      </c>
      <c r="AA8" t="s">
        <v>75</v>
      </c>
      <c r="AB8" s="13" t="s">
        <v>18</v>
      </c>
      <c r="AC8" s="12" t="s">
        <v>20</v>
      </c>
      <c r="AD8" t="s">
        <v>21</v>
      </c>
      <c r="AE8" t="s">
        <v>63</v>
      </c>
      <c r="AF8" t="s">
        <v>70</v>
      </c>
      <c r="AG8" t="s">
        <v>70</v>
      </c>
      <c r="AH8" t="s">
        <v>59</v>
      </c>
      <c r="AI8" t="s">
        <v>60</v>
      </c>
      <c r="AJ8" t="s">
        <v>25</v>
      </c>
      <c r="AK8" t="s">
        <v>82</v>
      </c>
      <c r="AL8">
        <v>-50</v>
      </c>
      <c r="AM8">
        <v>1</v>
      </c>
      <c r="AN8" s="17" t="s">
        <v>95</v>
      </c>
    </row>
    <row r="9" spans="1:40" x14ac:dyDescent="0.2">
      <c r="A9" s="5" t="s">
        <v>114</v>
      </c>
      <c r="B9" s="12" t="s">
        <v>54</v>
      </c>
      <c r="C9">
        <v>3</v>
      </c>
      <c r="D9">
        <v>10</v>
      </c>
      <c r="E9" s="13" t="s">
        <v>55</v>
      </c>
      <c r="F9" s="12" t="s">
        <v>54</v>
      </c>
      <c r="G9">
        <v>3</v>
      </c>
      <c r="H9">
        <v>5</v>
      </c>
      <c r="I9" s="13" t="s">
        <v>55</v>
      </c>
      <c r="J9" s="12" t="s">
        <v>56</v>
      </c>
      <c r="K9">
        <v>-30</v>
      </c>
      <c r="L9">
        <v>5</v>
      </c>
      <c r="M9">
        <v>7</v>
      </c>
      <c r="N9" s="18" t="s">
        <v>74</v>
      </c>
      <c r="O9" s="12">
        <v>-25</v>
      </c>
      <c r="P9" s="13">
        <v>100</v>
      </c>
      <c r="Q9" s="12" t="s">
        <v>57</v>
      </c>
      <c r="R9">
        <v>-14</v>
      </c>
      <c r="S9" s="13" t="s">
        <v>77</v>
      </c>
      <c r="T9" s="12" t="s">
        <v>58</v>
      </c>
      <c r="U9">
        <v>-57</v>
      </c>
      <c r="V9" s="13">
        <v>111</v>
      </c>
      <c r="W9">
        <v>-25</v>
      </c>
      <c r="X9">
        <v>0</v>
      </c>
      <c r="Y9" s="12" t="s">
        <v>19</v>
      </c>
      <c r="Z9" t="s">
        <v>64</v>
      </c>
      <c r="AA9" t="s">
        <v>75</v>
      </c>
      <c r="AB9" s="13" t="s">
        <v>18</v>
      </c>
      <c r="AC9" s="12" t="s">
        <v>20</v>
      </c>
      <c r="AD9" t="s">
        <v>21</v>
      </c>
      <c r="AE9" t="s">
        <v>63</v>
      </c>
      <c r="AF9" t="s">
        <v>70</v>
      </c>
      <c r="AG9" t="s">
        <v>70</v>
      </c>
      <c r="AH9" t="s">
        <v>59</v>
      </c>
      <c r="AI9" t="s">
        <v>60</v>
      </c>
      <c r="AJ9" t="s">
        <v>25</v>
      </c>
      <c r="AK9" t="s">
        <v>82</v>
      </c>
      <c r="AL9">
        <v>-50</v>
      </c>
      <c r="AM9">
        <v>1</v>
      </c>
      <c r="AN9" s="17" t="s">
        <v>95</v>
      </c>
    </row>
    <row r="10" spans="1:40" x14ac:dyDescent="0.2">
      <c r="A10" s="5" t="s">
        <v>116</v>
      </c>
      <c r="B10" s="12" t="s">
        <v>54</v>
      </c>
      <c r="C10">
        <v>3</v>
      </c>
      <c r="D10">
        <v>10</v>
      </c>
      <c r="E10" s="13" t="s">
        <v>55</v>
      </c>
      <c r="F10" s="12" t="s">
        <v>54</v>
      </c>
      <c r="G10">
        <v>3</v>
      </c>
      <c r="H10">
        <v>5</v>
      </c>
      <c r="I10" s="13" t="s">
        <v>55</v>
      </c>
      <c r="J10" s="12" t="s">
        <v>56</v>
      </c>
      <c r="K10">
        <v>-30</v>
      </c>
      <c r="L10">
        <v>5</v>
      </c>
      <c r="M10">
        <v>7</v>
      </c>
      <c r="N10" s="18" t="s">
        <v>74</v>
      </c>
      <c r="O10" s="12">
        <v>-25</v>
      </c>
      <c r="P10" s="13">
        <v>100</v>
      </c>
      <c r="Q10" s="12" t="s">
        <v>57</v>
      </c>
      <c r="R10">
        <v>-14</v>
      </c>
      <c r="S10" s="13" t="s">
        <v>77</v>
      </c>
      <c r="T10" s="12" t="s">
        <v>58</v>
      </c>
      <c r="U10">
        <v>-57</v>
      </c>
      <c r="V10" s="13">
        <v>111</v>
      </c>
      <c r="W10">
        <v>-25</v>
      </c>
      <c r="X10">
        <v>0</v>
      </c>
      <c r="Y10" s="12" t="s">
        <v>19</v>
      </c>
      <c r="Z10" t="s">
        <v>64</v>
      </c>
      <c r="AA10" t="s">
        <v>75</v>
      </c>
      <c r="AB10" s="13" t="s">
        <v>18</v>
      </c>
      <c r="AC10" s="12" t="s">
        <v>20</v>
      </c>
      <c r="AD10" t="s">
        <v>21</v>
      </c>
      <c r="AE10" t="s">
        <v>63</v>
      </c>
      <c r="AF10" t="s">
        <v>70</v>
      </c>
      <c r="AG10" t="s">
        <v>70</v>
      </c>
      <c r="AH10" t="s">
        <v>59</v>
      </c>
      <c r="AI10" t="s">
        <v>60</v>
      </c>
      <c r="AJ10" t="s">
        <v>25</v>
      </c>
      <c r="AK10" t="s">
        <v>82</v>
      </c>
      <c r="AL10">
        <v>-50</v>
      </c>
      <c r="AM10">
        <v>1</v>
      </c>
      <c r="AN10" s="17" t="s">
        <v>95</v>
      </c>
    </row>
    <row r="11" spans="1:40" x14ac:dyDescent="0.2">
      <c r="A11" s="5" t="s">
        <v>120</v>
      </c>
      <c r="B11" s="12" t="s">
        <v>54</v>
      </c>
      <c r="C11">
        <v>3</v>
      </c>
      <c r="D11">
        <v>10</v>
      </c>
      <c r="E11" s="13" t="s">
        <v>55</v>
      </c>
      <c r="F11" s="12" t="s">
        <v>54</v>
      </c>
      <c r="G11">
        <v>3</v>
      </c>
      <c r="H11">
        <v>5</v>
      </c>
      <c r="I11" s="13" t="s">
        <v>55</v>
      </c>
      <c r="J11" s="12" t="s">
        <v>56</v>
      </c>
      <c r="K11">
        <v>-30</v>
      </c>
      <c r="L11">
        <v>5</v>
      </c>
      <c r="M11">
        <v>7</v>
      </c>
      <c r="N11" s="18" t="s">
        <v>74</v>
      </c>
      <c r="O11" s="12">
        <v>-25</v>
      </c>
      <c r="P11" s="13">
        <v>100</v>
      </c>
      <c r="Q11" s="12" t="s">
        <v>57</v>
      </c>
      <c r="R11">
        <v>-14</v>
      </c>
      <c r="S11" s="13" t="s">
        <v>77</v>
      </c>
      <c r="T11" s="12" t="s">
        <v>58</v>
      </c>
      <c r="U11">
        <v>-57</v>
      </c>
      <c r="V11" s="13">
        <v>111</v>
      </c>
      <c r="W11">
        <v>-25</v>
      </c>
      <c r="X11">
        <v>0</v>
      </c>
      <c r="Y11" s="12" t="s">
        <v>19</v>
      </c>
      <c r="Z11" t="s">
        <v>64</v>
      </c>
      <c r="AA11" t="s">
        <v>75</v>
      </c>
      <c r="AB11" s="13" t="s">
        <v>18</v>
      </c>
      <c r="AC11" s="12" t="s">
        <v>20</v>
      </c>
      <c r="AD11" t="s">
        <v>21</v>
      </c>
      <c r="AE11" t="s">
        <v>63</v>
      </c>
      <c r="AF11" t="s">
        <v>70</v>
      </c>
      <c r="AG11" t="s">
        <v>70</v>
      </c>
      <c r="AH11" t="s">
        <v>59</v>
      </c>
      <c r="AI11" t="s">
        <v>60</v>
      </c>
      <c r="AJ11" t="s">
        <v>25</v>
      </c>
      <c r="AK11" t="s">
        <v>82</v>
      </c>
      <c r="AL11">
        <v>-50</v>
      </c>
      <c r="AM11">
        <v>1</v>
      </c>
      <c r="AN11" s="17" t="s">
        <v>95</v>
      </c>
    </row>
    <row r="12" spans="1:40" x14ac:dyDescent="0.2">
      <c r="A12" s="5" t="s">
        <v>123</v>
      </c>
      <c r="B12" s="12" t="s">
        <v>54</v>
      </c>
      <c r="C12">
        <v>3</v>
      </c>
      <c r="D12">
        <v>10</v>
      </c>
      <c r="E12" s="13" t="s">
        <v>55</v>
      </c>
      <c r="F12" s="12" t="s">
        <v>54</v>
      </c>
      <c r="G12">
        <v>3</v>
      </c>
      <c r="H12">
        <v>5</v>
      </c>
      <c r="I12" s="13" t="s">
        <v>55</v>
      </c>
      <c r="J12" s="12" t="s">
        <v>56</v>
      </c>
      <c r="K12">
        <v>-30</v>
      </c>
      <c r="L12">
        <v>5</v>
      </c>
      <c r="M12">
        <v>7</v>
      </c>
      <c r="N12" s="18" t="s">
        <v>74</v>
      </c>
      <c r="O12" s="12">
        <v>-25</v>
      </c>
      <c r="P12" s="13">
        <v>100</v>
      </c>
      <c r="Q12" s="12" t="s">
        <v>57</v>
      </c>
      <c r="R12">
        <v>-14</v>
      </c>
      <c r="S12" s="13" t="s">
        <v>77</v>
      </c>
      <c r="T12" s="12" t="s">
        <v>58</v>
      </c>
      <c r="U12">
        <v>-57</v>
      </c>
      <c r="V12" s="13">
        <v>111</v>
      </c>
      <c r="W12">
        <v>-25</v>
      </c>
      <c r="X12">
        <v>0</v>
      </c>
      <c r="Y12" s="12" t="s">
        <v>19</v>
      </c>
      <c r="Z12" t="s">
        <v>64</v>
      </c>
      <c r="AA12" t="s">
        <v>75</v>
      </c>
      <c r="AB12" s="13" t="s">
        <v>18</v>
      </c>
      <c r="AC12" s="12" t="s">
        <v>20</v>
      </c>
      <c r="AD12" t="s">
        <v>21</v>
      </c>
      <c r="AE12" t="s">
        <v>63</v>
      </c>
      <c r="AF12" t="s">
        <v>70</v>
      </c>
      <c r="AG12" t="s">
        <v>70</v>
      </c>
      <c r="AH12" t="s">
        <v>59</v>
      </c>
      <c r="AI12" t="s">
        <v>60</v>
      </c>
      <c r="AJ12" t="s">
        <v>25</v>
      </c>
      <c r="AK12" t="s">
        <v>82</v>
      </c>
      <c r="AL12">
        <v>-50</v>
      </c>
      <c r="AM12">
        <v>1</v>
      </c>
      <c r="AN12" s="17" t="s">
        <v>95</v>
      </c>
    </row>
    <row r="13" spans="1:40" x14ac:dyDescent="0.2">
      <c r="A13" s="5" t="s">
        <v>125</v>
      </c>
      <c r="B13" s="12" t="s">
        <v>54</v>
      </c>
      <c r="C13">
        <v>3</v>
      </c>
      <c r="D13">
        <v>10</v>
      </c>
      <c r="E13" s="13" t="s">
        <v>55</v>
      </c>
      <c r="F13" s="12" t="s">
        <v>54</v>
      </c>
      <c r="G13">
        <v>3</v>
      </c>
      <c r="H13">
        <v>5</v>
      </c>
      <c r="I13" s="13" t="s">
        <v>55</v>
      </c>
      <c r="J13" s="12" t="s">
        <v>56</v>
      </c>
      <c r="K13">
        <v>-30</v>
      </c>
      <c r="L13">
        <v>5</v>
      </c>
      <c r="M13">
        <v>7</v>
      </c>
      <c r="N13" s="18" t="s">
        <v>74</v>
      </c>
      <c r="O13" s="12">
        <v>-25</v>
      </c>
      <c r="P13" s="13">
        <v>100</v>
      </c>
      <c r="Q13" s="12" t="s">
        <v>57</v>
      </c>
      <c r="R13">
        <v>-14</v>
      </c>
      <c r="S13" s="13" t="s">
        <v>77</v>
      </c>
      <c r="T13" s="12" t="s">
        <v>58</v>
      </c>
      <c r="U13">
        <v>-57</v>
      </c>
      <c r="V13" s="13">
        <v>111</v>
      </c>
      <c r="W13">
        <v>-25</v>
      </c>
      <c r="X13">
        <v>0</v>
      </c>
      <c r="Y13" s="12" t="s">
        <v>19</v>
      </c>
      <c r="Z13" t="s">
        <v>64</v>
      </c>
      <c r="AA13" t="s">
        <v>75</v>
      </c>
      <c r="AB13" s="13" t="s">
        <v>18</v>
      </c>
      <c r="AC13" s="12" t="s">
        <v>20</v>
      </c>
      <c r="AD13" t="s">
        <v>21</v>
      </c>
      <c r="AE13" t="s">
        <v>63</v>
      </c>
      <c r="AF13" t="s">
        <v>70</v>
      </c>
      <c r="AG13" t="s">
        <v>70</v>
      </c>
      <c r="AH13" t="s">
        <v>59</v>
      </c>
      <c r="AI13" t="s">
        <v>60</v>
      </c>
      <c r="AJ13" t="s">
        <v>25</v>
      </c>
      <c r="AK13" t="s">
        <v>82</v>
      </c>
      <c r="AL13">
        <v>-50</v>
      </c>
      <c r="AM13">
        <v>1</v>
      </c>
      <c r="AN13" s="17" t="s">
        <v>95</v>
      </c>
    </row>
    <row r="14" spans="1:40" x14ac:dyDescent="0.2">
      <c r="A14" s="5" t="s">
        <v>126</v>
      </c>
      <c r="B14" s="12" t="s">
        <v>54</v>
      </c>
      <c r="C14">
        <v>3</v>
      </c>
      <c r="D14">
        <v>10</v>
      </c>
      <c r="E14" s="13" t="s">
        <v>55</v>
      </c>
      <c r="F14" s="12" t="s">
        <v>54</v>
      </c>
      <c r="G14">
        <v>3</v>
      </c>
      <c r="H14">
        <v>5</v>
      </c>
      <c r="I14" s="13" t="s">
        <v>55</v>
      </c>
      <c r="J14" s="12" t="s">
        <v>56</v>
      </c>
      <c r="K14">
        <v>-30</v>
      </c>
      <c r="L14">
        <v>5</v>
      </c>
      <c r="M14">
        <v>7</v>
      </c>
      <c r="N14" s="18" t="s">
        <v>74</v>
      </c>
      <c r="O14" s="12">
        <v>-25</v>
      </c>
      <c r="P14" s="13">
        <v>100</v>
      </c>
      <c r="Q14" s="12" t="s">
        <v>57</v>
      </c>
      <c r="R14">
        <v>-14</v>
      </c>
      <c r="S14" s="13" t="s">
        <v>77</v>
      </c>
      <c r="T14" s="12" t="s">
        <v>58</v>
      </c>
      <c r="U14">
        <v>-57</v>
      </c>
      <c r="V14" s="13">
        <v>111</v>
      </c>
      <c r="W14">
        <v>-25</v>
      </c>
      <c r="X14">
        <v>0</v>
      </c>
      <c r="Y14" s="12" t="s">
        <v>19</v>
      </c>
      <c r="Z14" t="s">
        <v>64</v>
      </c>
      <c r="AA14" t="s">
        <v>75</v>
      </c>
      <c r="AB14" s="13" t="s">
        <v>18</v>
      </c>
      <c r="AC14" s="12" t="s">
        <v>20</v>
      </c>
      <c r="AD14" t="s">
        <v>21</v>
      </c>
      <c r="AE14" t="s">
        <v>63</v>
      </c>
      <c r="AF14" t="s">
        <v>70</v>
      </c>
      <c r="AG14" t="s">
        <v>70</v>
      </c>
      <c r="AH14" t="s">
        <v>59</v>
      </c>
      <c r="AI14" t="s">
        <v>60</v>
      </c>
      <c r="AJ14" t="s">
        <v>25</v>
      </c>
      <c r="AK14" t="s">
        <v>82</v>
      </c>
      <c r="AL14">
        <v>-50</v>
      </c>
      <c r="AM14">
        <v>1</v>
      </c>
      <c r="AN14" s="17" t="s">
        <v>95</v>
      </c>
    </row>
    <row r="15" spans="1:40" x14ac:dyDescent="0.2">
      <c r="A15" s="5" t="s">
        <v>132</v>
      </c>
      <c r="B15" s="12" t="s">
        <v>54</v>
      </c>
      <c r="C15">
        <v>3</v>
      </c>
      <c r="D15">
        <v>10</v>
      </c>
      <c r="E15" s="13" t="s">
        <v>55</v>
      </c>
      <c r="F15" s="12" t="s">
        <v>54</v>
      </c>
      <c r="G15">
        <v>3</v>
      </c>
      <c r="H15">
        <v>5</v>
      </c>
      <c r="I15" s="13" t="s">
        <v>55</v>
      </c>
      <c r="J15" s="12" t="s">
        <v>56</v>
      </c>
      <c r="K15">
        <v>-30</v>
      </c>
      <c r="L15">
        <v>5</v>
      </c>
      <c r="M15">
        <v>7</v>
      </c>
      <c r="N15" s="18" t="s">
        <v>74</v>
      </c>
      <c r="O15" s="12">
        <v>-25</v>
      </c>
      <c r="P15" s="13">
        <v>100</v>
      </c>
      <c r="Q15" s="12" t="s">
        <v>57</v>
      </c>
      <c r="R15">
        <v>-14</v>
      </c>
      <c r="S15" s="13" t="s">
        <v>77</v>
      </c>
      <c r="T15" s="12" t="s">
        <v>58</v>
      </c>
      <c r="U15">
        <v>-57</v>
      </c>
      <c r="V15" s="13">
        <v>111</v>
      </c>
      <c r="W15">
        <v>-25</v>
      </c>
      <c r="X15">
        <v>0</v>
      </c>
      <c r="Y15" s="12" t="s">
        <v>19</v>
      </c>
      <c r="Z15" t="s">
        <v>64</v>
      </c>
      <c r="AA15" t="s">
        <v>75</v>
      </c>
      <c r="AB15" s="13" t="s">
        <v>18</v>
      </c>
      <c r="AC15" s="12" t="s">
        <v>20</v>
      </c>
      <c r="AD15" t="s">
        <v>21</v>
      </c>
      <c r="AE15" t="s">
        <v>63</v>
      </c>
      <c r="AF15" t="s">
        <v>70</v>
      </c>
      <c r="AG15" t="s">
        <v>70</v>
      </c>
      <c r="AH15" t="s">
        <v>59</v>
      </c>
      <c r="AI15" t="s">
        <v>60</v>
      </c>
      <c r="AJ15" t="s">
        <v>25</v>
      </c>
      <c r="AK15" t="s">
        <v>82</v>
      </c>
      <c r="AL15">
        <v>-50</v>
      </c>
      <c r="AM15">
        <v>1</v>
      </c>
      <c r="AN15" s="17" t="s">
        <v>95</v>
      </c>
    </row>
    <row r="16" spans="1:40" x14ac:dyDescent="0.2">
      <c r="A16" s="5" t="s">
        <v>135</v>
      </c>
      <c r="B16" s="12" t="s">
        <v>54</v>
      </c>
      <c r="C16">
        <v>3</v>
      </c>
      <c r="D16">
        <v>10</v>
      </c>
      <c r="E16" s="13" t="s">
        <v>55</v>
      </c>
      <c r="F16" s="12" t="s">
        <v>54</v>
      </c>
      <c r="G16">
        <v>3</v>
      </c>
      <c r="H16">
        <v>5</v>
      </c>
      <c r="I16" s="13" t="s">
        <v>55</v>
      </c>
      <c r="J16" s="12" t="s">
        <v>56</v>
      </c>
      <c r="K16">
        <v>-30</v>
      </c>
      <c r="L16">
        <v>5</v>
      </c>
      <c r="M16">
        <v>7</v>
      </c>
      <c r="N16" s="18" t="s">
        <v>74</v>
      </c>
      <c r="O16" s="12">
        <v>-25</v>
      </c>
      <c r="P16" s="13">
        <v>100</v>
      </c>
      <c r="Q16" s="12" t="s">
        <v>57</v>
      </c>
      <c r="R16">
        <v>-14</v>
      </c>
      <c r="S16" s="13" t="s">
        <v>77</v>
      </c>
      <c r="T16" s="12" t="s">
        <v>58</v>
      </c>
      <c r="U16">
        <v>-57</v>
      </c>
      <c r="V16" s="13">
        <v>111</v>
      </c>
      <c r="W16">
        <v>-25</v>
      </c>
      <c r="X16">
        <v>0</v>
      </c>
      <c r="Y16" s="12" t="s">
        <v>19</v>
      </c>
      <c r="Z16" t="s">
        <v>64</v>
      </c>
      <c r="AA16" t="s">
        <v>75</v>
      </c>
      <c r="AB16" s="13" t="s">
        <v>18</v>
      </c>
      <c r="AC16" s="12" t="s">
        <v>20</v>
      </c>
      <c r="AD16" t="s">
        <v>21</v>
      </c>
      <c r="AE16" t="s">
        <v>63</v>
      </c>
      <c r="AF16" t="s">
        <v>70</v>
      </c>
      <c r="AG16" t="s">
        <v>70</v>
      </c>
      <c r="AH16" t="s">
        <v>59</v>
      </c>
      <c r="AI16" t="s">
        <v>60</v>
      </c>
      <c r="AJ16" t="s">
        <v>25</v>
      </c>
      <c r="AK16" t="s">
        <v>82</v>
      </c>
      <c r="AL16">
        <v>-50</v>
      </c>
      <c r="AM16">
        <v>1</v>
      </c>
      <c r="AN16" s="17" t="s">
        <v>95</v>
      </c>
    </row>
    <row r="17" spans="1:40" x14ac:dyDescent="0.2">
      <c r="A17" s="5" t="s">
        <v>138</v>
      </c>
      <c r="B17" s="12" t="s">
        <v>54</v>
      </c>
      <c r="C17">
        <v>3</v>
      </c>
      <c r="D17">
        <v>10</v>
      </c>
      <c r="E17" s="13" t="s">
        <v>55</v>
      </c>
      <c r="F17" s="12" t="s">
        <v>54</v>
      </c>
      <c r="G17">
        <v>3</v>
      </c>
      <c r="H17">
        <v>5</v>
      </c>
      <c r="I17" s="13" t="s">
        <v>55</v>
      </c>
      <c r="J17" s="12" t="s">
        <v>56</v>
      </c>
      <c r="K17">
        <v>-30</v>
      </c>
      <c r="L17">
        <v>5</v>
      </c>
      <c r="M17">
        <v>7</v>
      </c>
      <c r="N17" s="18" t="s">
        <v>74</v>
      </c>
      <c r="O17" s="12">
        <v>-25</v>
      </c>
      <c r="P17" s="13">
        <v>100</v>
      </c>
      <c r="Q17" s="12" t="s">
        <v>57</v>
      </c>
      <c r="R17">
        <v>-14</v>
      </c>
      <c r="S17" s="13" t="s">
        <v>77</v>
      </c>
      <c r="T17" s="12" t="s">
        <v>58</v>
      </c>
      <c r="U17">
        <v>-57</v>
      </c>
      <c r="V17" s="13">
        <v>111</v>
      </c>
      <c r="W17">
        <v>-25</v>
      </c>
      <c r="X17">
        <v>0</v>
      </c>
      <c r="Y17" s="12" t="s">
        <v>19</v>
      </c>
      <c r="Z17" t="s">
        <v>64</v>
      </c>
      <c r="AA17" t="s">
        <v>75</v>
      </c>
      <c r="AB17" s="13" t="s">
        <v>18</v>
      </c>
      <c r="AC17" s="12" t="s">
        <v>20</v>
      </c>
      <c r="AD17" t="s">
        <v>21</v>
      </c>
      <c r="AE17" t="s">
        <v>63</v>
      </c>
      <c r="AF17" t="s">
        <v>70</v>
      </c>
      <c r="AG17" t="s">
        <v>70</v>
      </c>
      <c r="AH17" t="s">
        <v>59</v>
      </c>
      <c r="AI17" t="s">
        <v>60</v>
      </c>
      <c r="AJ17" t="s">
        <v>25</v>
      </c>
      <c r="AK17" t="s">
        <v>82</v>
      </c>
      <c r="AL17">
        <v>-50</v>
      </c>
      <c r="AM17">
        <v>1</v>
      </c>
      <c r="AN17" s="17" t="s">
        <v>95</v>
      </c>
    </row>
    <row r="18" spans="1:40" x14ac:dyDescent="0.2">
      <c r="A18" s="5" t="s">
        <v>140</v>
      </c>
      <c r="B18" s="12" t="s">
        <v>54</v>
      </c>
      <c r="C18">
        <v>3</v>
      </c>
      <c r="D18">
        <v>10</v>
      </c>
      <c r="E18" s="13" t="s">
        <v>55</v>
      </c>
      <c r="F18" s="12" t="s">
        <v>54</v>
      </c>
      <c r="G18">
        <v>3</v>
      </c>
      <c r="H18">
        <v>5</v>
      </c>
      <c r="I18" s="13" t="s">
        <v>55</v>
      </c>
      <c r="J18" s="12" t="s">
        <v>56</v>
      </c>
      <c r="K18">
        <v>-30</v>
      </c>
      <c r="L18">
        <v>5</v>
      </c>
      <c r="M18">
        <v>7</v>
      </c>
      <c r="N18" s="18" t="s">
        <v>74</v>
      </c>
      <c r="O18" s="12">
        <v>-25</v>
      </c>
      <c r="P18" s="13">
        <v>100</v>
      </c>
      <c r="Q18" s="12" t="s">
        <v>57</v>
      </c>
      <c r="R18">
        <v>-14</v>
      </c>
      <c r="S18" s="13" t="s">
        <v>77</v>
      </c>
      <c r="T18" s="12" t="s">
        <v>58</v>
      </c>
      <c r="U18">
        <v>-57</v>
      </c>
      <c r="V18" s="13">
        <v>111</v>
      </c>
      <c r="W18">
        <v>-25</v>
      </c>
      <c r="X18">
        <v>0</v>
      </c>
      <c r="Y18" s="12" t="s">
        <v>19</v>
      </c>
      <c r="Z18" t="s">
        <v>64</v>
      </c>
      <c r="AA18" t="s">
        <v>75</v>
      </c>
      <c r="AB18" s="13" t="s">
        <v>18</v>
      </c>
      <c r="AC18" s="12" t="s">
        <v>20</v>
      </c>
      <c r="AD18" t="s">
        <v>21</v>
      </c>
      <c r="AE18" t="s">
        <v>63</v>
      </c>
      <c r="AF18" t="s">
        <v>70</v>
      </c>
      <c r="AG18" t="s">
        <v>70</v>
      </c>
      <c r="AH18" t="s">
        <v>59</v>
      </c>
      <c r="AI18" t="s">
        <v>60</v>
      </c>
      <c r="AJ18" t="s">
        <v>25</v>
      </c>
      <c r="AK18" t="s">
        <v>82</v>
      </c>
      <c r="AL18">
        <v>-50</v>
      </c>
      <c r="AM18">
        <v>1</v>
      </c>
      <c r="AN18" s="17" t="s">
        <v>95</v>
      </c>
    </row>
    <row r="19" spans="1:40" x14ac:dyDescent="0.2">
      <c r="A19" s="5" t="s">
        <v>142</v>
      </c>
      <c r="B19" s="12" t="s">
        <v>54</v>
      </c>
      <c r="C19">
        <v>3</v>
      </c>
      <c r="D19">
        <v>10</v>
      </c>
      <c r="E19" s="13" t="s">
        <v>55</v>
      </c>
      <c r="F19" s="12" t="s">
        <v>54</v>
      </c>
      <c r="G19">
        <v>3</v>
      </c>
      <c r="H19">
        <v>5</v>
      </c>
      <c r="I19" s="13" t="s">
        <v>55</v>
      </c>
      <c r="J19" s="12" t="s">
        <v>56</v>
      </c>
      <c r="K19">
        <v>-30</v>
      </c>
      <c r="L19">
        <v>5</v>
      </c>
      <c r="M19">
        <v>7</v>
      </c>
      <c r="N19" s="18" t="s">
        <v>74</v>
      </c>
      <c r="O19" s="12">
        <v>-25</v>
      </c>
      <c r="P19" s="13">
        <v>100</v>
      </c>
      <c r="Q19" s="12" t="s">
        <v>57</v>
      </c>
      <c r="R19">
        <v>-14</v>
      </c>
      <c r="S19" s="13" t="s">
        <v>77</v>
      </c>
      <c r="T19" s="12" t="s">
        <v>58</v>
      </c>
      <c r="U19">
        <v>-57</v>
      </c>
      <c r="V19" s="13">
        <v>111</v>
      </c>
      <c r="W19">
        <v>-25</v>
      </c>
      <c r="X19">
        <v>0</v>
      </c>
      <c r="Y19" s="12" t="s">
        <v>19</v>
      </c>
      <c r="Z19" t="s">
        <v>64</v>
      </c>
      <c r="AA19" t="s">
        <v>75</v>
      </c>
      <c r="AB19" s="13" t="s">
        <v>18</v>
      </c>
      <c r="AC19" s="12" t="s">
        <v>20</v>
      </c>
      <c r="AD19" t="s">
        <v>21</v>
      </c>
      <c r="AE19" t="s">
        <v>63</v>
      </c>
      <c r="AF19" t="s">
        <v>70</v>
      </c>
      <c r="AG19" t="s">
        <v>70</v>
      </c>
      <c r="AH19" t="s">
        <v>59</v>
      </c>
      <c r="AI19" t="s">
        <v>60</v>
      </c>
      <c r="AJ19" t="s">
        <v>25</v>
      </c>
      <c r="AK19" t="s">
        <v>82</v>
      </c>
      <c r="AL19">
        <v>-50</v>
      </c>
      <c r="AM19">
        <v>1</v>
      </c>
      <c r="AN19" s="17" t="s">
        <v>95</v>
      </c>
    </row>
    <row r="20" spans="1:40" x14ac:dyDescent="0.2">
      <c r="A20" s="5" t="s">
        <v>144</v>
      </c>
      <c r="B20" s="12" t="s">
        <v>54</v>
      </c>
      <c r="C20">
        <v>3</v>
      </c>
      <c r="D20">
        <v>10</v>
      </c>
      <c r="E20" s="13" t="s">
        <v>55</v>
      </c>
      <c r="F20" s="12" t="s">
        <v>54</v>
      </c>
      <c r="G20">
        <v>3</v>
      </c>
      <c r="H20">
        <v>5</v>
      </c>
      <c r="I20" s="13" t="s">
        <v>55</v>
      </c>
      <c r="J20" s="12" t="s">
        <v>56</v>
      </c>
      <c r="K20">
        <v>-30</v>
      </c>
      <c r="L20">
        <v>5</v>
      </c>
      <c r="M20">
        <v>7</v>
      </c>
      <c r="N20" s="18" t="s">
        <v>74</v>
      </c>
      <c r="O20" s="12">
        <v>-25</v>
      </c>
      <c r="P20" s="13">
        <v>100</v>
      </c>
      <c r="Q20" s="12" t="s">
        <v>57</v>
      </c>
      <c r="R20">
        <v>-14</v>
      </c>
      <c r="S20" s="13" t="s">
        <v>77</v>
      </c>
      <c r="T20" s="12" t="s">
        <v>58</v>
      </c>
      <c r="U20">
        <v>-57</v>
      </c>
      <c r="V20" s="13">
        <v>111</v>
      </c>
      <c r="W20">
        <v>-25</v>
      </c>
      <c r="X20">
        <v>0</v>
      </c>
      <c r="Y20" s="12" t="s">
        <v>19</v>
      </c>
      <c r="Z20" t="s">
        <v>64</v>
      </c>
      <c r="AA20" t="s">
        <v>75</v>
      </c>
      <c r="AB20" s="13" t="s">
        <v>18</v>
      </c>
      <c r="AC20" s="12" t="s">
        <v>20</v>
      </c>
      <c r="AD20" t="s">
        <v>21</v>
      </c>
      <c r="AE20" t="s">
        <v>63</v>
      </c>
      <c r="AF20" t="s">
        <v>70</v>
      </c>
      <c r="AG20" t="s">
        <v>70</v>
      </c>
      <c r="AH20" t="s">
        <v>59</v>
      </c>
      <c r="AI20" t="s">
        <v>60</v>
      </c>
      <c r="AJ20" t="s">
        <v>25</v>
      </c>
      <c r="AK20" t="s">
        <v>82</v>
      </c>
      <c r="AL20">
        <v>-50</v>
      </c>
      <c r="AM20">
        <v>1</v>
      </c>
      <c r="AN20" s="17" t="s">
        <v>95</v>
      </c>
    </row>
    <row r="21" spans="1:40" x14ac:dyDescent="0.2">
      <c r="A21" s="5" t="s">
        <v>146</v>
      </c>
      <c r="B21" s="12" t="s">
        <v>54</v>
      </c>
      <c r="C21">
        <v>3</v>
      </c>
      <c r="D21">
        <v>10</v>
      </c>
      <c r="E21" s="13" t="s">
        <v>55</v>
      </c>
      <c r="F21" s="12" t="s">
        <v>54</v>
      </c>
      <c r="G21">
        <v>3</v>
      </c>
      <c r="H21">
        <v>5</v>
      </c>
      <c r="I21" s="13" t="s">
        <v>55</v>
      </c>
      <c r="J21" s="12" t="s">
        <v>56</v>
      </c>
      <c r="K21">
        <v>-30</v>
      </c>
      <c r="L21">
        <v>5</v>
      </c>
      <c r="M21">
        <v>7</v>
      </c>
      <c r="N21" s="18" t="s">
        <v>74</v>
      </c>
      <c r="O21" s="12">
        <v>-25</v>
      </c>
      <c r="P21" s="13">
        <v>100</v>
      </c>
      <c r="Q21" s="12" t="s">
        <v>57</v>
      </c>
      <c r="R21">
        <v>-14</v>
      </c>
      <c r="S21" s="13" t="s">
        <v>77</v>
      </c>
      <c r="T21" s="12" t="s">
        <v>58</v>
      </c>
      <c r="U21">
        <v>-57</v>
      </c>
      <c r="V21" s="13">
        <v>111</v>
      </c>
      <c r="W21">
        <v>-25</v>
      </c>
      <c r="X21">
        <v>0</v>
      </c>
      <c r="Y21" s="12" t="s">
        <v>19</v>
      </c>
      <c r="Z21" t="s">
        <v>64</v>
      </c>
      <c r="AA21" t="s">
        <v>75</v>
      </c>
      <c r="AB21" s="13" t="s">
        <v>18</v>
      </c>
      <c r="AC21" s="12" t="s">
        <v>20</v>
      </c>
      <c r="AD21" t="s">
        <v>21</v>
      </c>
      <c r="AE21" t="s">
        <v>63</v>
      </c>
      <c r="AF21" t="s">
        <v>70</v>
      </c>
      <c r="AG21" t="s">
        <v>70</v>
      </c>
      <c r="AH21" t="s">
        <v>59</v>
      </c>
      <c r="AI21" t="s">
        <v>60</v>
      </c>
      <c r="AJ21" t="s">
        <v>25</v>
      </c>
      <c r="AK21" t="s">
        <v>82</v>
      </c>
      <c r="AL21">
        <v>-50</v>
      </c>
      <c r="AM21">
        <v>1</v>
      </c>
      <c r="AN21" s="17" t="s">
        <v>95</v>
      </c>
    </row>
    <row r="22" spans="1:40" x14ac:dyDescent="0.2">
      <c r="A22" s="5" t="s">
        <v>149</v>
      </c>
      <c r="B22" s="12" t="s">
        <v>54</v>
      </c>
      <c r="C22">
        <v>3</v>
      </c>
      <c r="D22">
        <v>10</v>
      </c>
      <c r="E22" s="13" t="s">
        <v>55</v>
      </c>
      <c r="F22" s="12" t="s">
        <v>54</v>
      </c>
      <c r="G22">
        <v>3</v>
      </c>
      <c r="H22">
        <v>5</v>
      </c>
      <c r="I22" s="13" t="s">
        <v>55</v>
      </c>
      <c r="J22" s="12" t="s">
        <v>56</v>
      </c>
      <c r="K22">
        <v>-30</v>
      </c>
      <c r="L22">
        <v>5</v>
      </c>
      <c r="M22">
        <v>7</v>
      </c>
      <c r="N22" s="18" t="s">
        <v>74</v>
      </c>
      <c r="O22" s="12">
        <v>-25</v>
      </c>
      <c r="P22" s="13">
        <v>100</v>
      </c>
      <c r="Q22" s="12" t="s">
        <v>57</v>
      </c>
      <c r="R22">
        <v>-14</v>
      </c>
      <c r="S22" s="13" t="s">
        <v>77</v>
      </c>
      <c r="T22" s="12" t="s">
        <v>58</v>
      </c>
      <c r="U22">
        <v>-57</v>
      </c>
      <c r="V22" s="13">
        <v>111</v>
      </c>
      <c r="W22">
        <v>-25</v>
      </c>
      <c r="X22">
        <v>0</v>
      </c>
      <c r="Y22" s="12" t="s">
        <v>19</v>
      </c>
      <c r="Z22" t="s">
        <v>64</v>
      </c>
      <c r="AA22" t="s">
        <v>75</v>
      </c>
      <c r="AB22" s="13" t="s">
        <v>18</v>
      </c>
      <c r="AC22" s="12" t="s">
        <v>20</v>
      </c>
      <c r="AD22" t="s">
        <v>21</v>
      </c>
      <c r="AE22" t="s">
        <v>63</v>
      </c>
      <c r="AF22" t="s">
        <v>70</v>
      </c>
      <c r="AG22" t="s">
        <v>70</v>
      </c>
      <c r="AH22" t="s">
        <v>59</v>
      </c>
      <c r="AI22" t="s">
        <v>60</v>
      </c>
      <c r="AJ22" t="s">
        <v>25</v>
      </c>
      <c r="AK22" t="s">
        <v>82</v>
      </c>
      <c r="AL22">
        <v>-50</v>
      </c>
      <c r="AM22">
        <v>1</v>
      </c>
      <c r="AN22" s="17" t="s">
        <v>95</v>
      </c>
    </row>
    <row r="23" spans="1:40" x14ac:dyDescent="0.2">
      <c r="A23" s="5" t="s">
        <v>151</v>
      </c>
      <c r="B23" s="12" t="s">
        <v>54</v>
      </c>
      <c r="C23">
        <v>3</v>
      </c>
      <c r="D23">
        <v>10</v>
      </c>
      <c r="E23" s="13" t="s">
        <v>55</v>
      </c>
      <c r="F23" s="12" t="s">
        <v>54</v>
      </c>
      <c r="G23">
        <v>3</v>
      </c>
      <c r="H23">
        <v>5</v>
      </c>
      <c r="I23" s="13" t="s">
        <v>55</v>
      </c>
      <c r="J23" s="12" t="s">
        <v>56</v>
      </c>
      <c r="K23">
        <v>-30</v>
      </c>
      <c r="L23">
        <v>5</v>
      </c>
      <c r="M23">
        <v>7</v>
      </c>
      <c r="N23" s="18" t="s">
        <v>74</v>
      </c>
      <c r="O23" s="12">
        <v>-25</v>
      </c>
      <c r="P23" s="13">
        <v>100</v>
      </c>
      <c r="Q23" s="12" t="s">
        <v>57</v>
      </c>
      <c r="R23">
        <v>-14</v>
      </c>
      <c r="S23" s="13" t="s">
        <v>77</v>
      </c>
      <c r="T23" s="12" t="s">
        <v>58</v>
      </c>
      <c r="U23">
        <v>-57</v>
      </c>
      <c r="V23" s="13">
        <v>111</v>
      </c>
      <c r="W23">
        <v>-25</v>
      </c>
      <c r="X23">
        <v>0</v>
      </c>
      <c r="Y23" s="12" t="s">
        <v>19</v>
      </c>
      <c r="Z23" t="s">
        <v>64</v>
      </c>
      <c r="AA23" t="s">
        <v>75</v>
      </c>
      <c r="AB23" s="13" t="s">
        <v>18</v>
      </c>
      <c r="AC23" s="12" t="s">
        <v>20</v>
      </c>
      <c r="AD23" t="s">
        <v>21</v>
      </c>
      <c r="AE23" t="s">
        <v>63</v>
      </c>
      <c r="AF23" t="s">
        <v>70</v>
      </c>
      <c r="AG23" t="s">
        <v>70</v>
      </c>
      <c r="AH23" t="s">
        <v>59</v>
      </c>
      <c r="AI23" t="s">
        <v>60</v>
      </c>
      <c r="AJ23" t="s">
        <v>25</v>
      </c>
      <c r="AK23" t="s">
        <v>82</v>
      </c>
      <c r="AL23">
        <v>-50</v>
      </c>
      <c r="AM23">
        <v>1</v>
      </c>
      <c r="AN23" s="17" t="s">
        <v>95</v>
      </c>
    </row>
    <row r="24" spans="1:40" x14ac:dyDescent="0.2">
      <c r="A24" s="5" t="s">
        <v>154</v>
      </c>
      <c r="B24" s="12" t="s">
        <v>54</v>
      </c>
      <c r="C24">
        <v>3</v>
      </c>
      <c r="D24">
        <v>10</v>
      </c>
      <c r="E24" s="13" t="s">
        <v>55</v>
      </c>
      <c r="F24" s="12" t="s">
        <v>54</v>
      </c>
      <c r="G24">
        <v>3</v>
      </c>
      <c r="H24">
        <v>5</v>
      </c>
      <c r="I24" s="13" t="s">
        <v>55</v>
      </c>
      <c r="J24" s="12" t="s">
        <v>56</v>
      </c>
      <c r="K24">
        <v>-30</v>
      </c>
      <c r="L24">
        <v>5</v>
      </c>
      <c r="M24">
        <v>7</v>
      </c>
      <c r="N24" s="18" t="s">
        <v>74</v>
      </c>
      <c r="O24" s="12">
        <v>-25</v>
      </c>
      <c r="P24" s="13">
        <v>100</v>
      </c>
      <c r="Q24" s="12" t="s">
        <v>57</v>
      </c>
      <c r="R24">
        <v>-14</v>
      </c>
      <c r="S24" s="13" t="s">
        <v>77</v>
      </c>
      <c r="T24" s="12" t="s">
        <v>58</v>
      </c>
      <c r="U24">
        <v>-57</v>
      </c>
      <c r="V24" s="13">
        <v>111</v>
      </c>
      <c r="W24">
        <v>-25</v>
      </c>
      <c r="X24">
        <v>0</v>
      </c>
      <c r="Y24" s="12" t="s">
        <v>19</v>
      </c>
      <c r="Z24" t="s">
        <v>64</v>
      </c>
      <c r="AA24" t="s">
        <v>75</v>
      </c>
      <c r="AB24" s="13" t="s">
        <v>18</v>
      </c>
      <c r="AC24" s="12" t="s">
        <v>20</v>
      </c>
      <c r="AD24" t="s">
        <v>21</v>
      </c>
      <c r="AE24" t="s">
        <v>63</v>
      </c>
      <c r="AF24" t="s">
        <v>70</v>
      </c>
      <c r="AG24" t="s">
        <v>70</v>
      </c>
      <c r="AH24" t="s">
        <v>59</v>
      </c>
      <c r="AI24" t="s">
        <v>60</v>
      </c>
      <c r="AJ24" t="s">
        <v>25</v>
      </c>
      <c r="AK24" t="s">
        <v>82</v>
      </c>
      <c r="AL24">
        <v>-50</v>
      </c>
      <c r="AM24">
        <v>1</v>
      </c>
      <c r="AN24" s="17" t="s">
        <v>95</v>
      </c>
    </row>
    <row r="25" spans="1:40" x14ac:dyDescent="0.2">
      <c r="A25" s="5" t="s">
        <v>157</v>
      </c>
      <c r="B25" s="12" t="s">
        <v>54</v>
      </c>
      <c r="C25">
        <v>3</v>
      </c>
      <c r="D25">
        <v>10</v>
      </c>
      <c r="E25" s="13" t="s">
        <v>55</v>
      </c>
      <c r="F25" s="12" t="s">
        <v>54</v>
      </c>
      <c r="G25">
        <v>3</v>
      </c>
      <c r="H25">
        <v>5</v>
      </c>
      <c r="I25" s="13" t="s">
        <v>55</v>
      </c>
      <c r="J25" s="12" t="s">
        <v>56</v>
      </c>
      <c r="K25">
        <v>-30</v>
      </c>
      <c r="L25">
        <v>5</v>
      </c>
      <c r="M25">
        <v>7</v>
      </c>
      <c r="N25" s="18" t="s">
        <v>74</v>
      </c>
      <c r="O25" s="12">
        <v>-25</v>
      </c>
      <c r="P25" s="13">
        <v>100</v>
      </c>
      <c r="Q25" s="12" t="s">
        <v>57</v>
      </c>
      <c r="R25">
        <v>-14</v>
      </c>
      <c r="S25" s="13" t="s">
        <v>77</v>
      </c>
      <c r="T25" s="12" t="s">
        <v>58</v>
      </c>
      <c r="U25">
        <v>-57</v>
      </c>
      <c r="V25" s="13">
        <v>111</v>
      </c>
      <c r="W25">
        <v>-25</v>
      </c>
      <c r="X25">
        <v>0</v>
      </c>
      <c r="Y25" s="12" t="s">
        <v>19</v>
      </c>
      <c r="Z25" t="s">
        <v>64</v>
      </c>
      <c r="AA25" t="s">
        <v>75</v>
      </c>
      <c r="AB25" s="13" t="s">
        <v>18</v>
      </c>
      <c r="AC25" s="12" t="s">
        <v>20</v>
      </c>
      <c r="AD25" t="s">
        <v>21</v>
      </c>
      <c r="AE25" t="s">
        <v>63</v>
      </c>
      <c r="AF25" t="s">
        <v>70</v>
      </c>
      <c r="AG25" t="s">
        <v>70</v>
      </c>
      <c r="AH25" t="s">
        <v>59</v>
      </c>
      <c r="AI25" t="s">
        <v>60</v>
      </c>
      <c r="AJ25" t="s">
        <v>25</v>
      </c>
      <c r="AK25" t="s">
        <v>82</v>
      </c>
      <c r="AL25">
        <v>-50</v>
      </c>
      <c r="AM25">
        <v>1</v>
      </c>
      <c r="AN25" s="17" t="s">
        <v>95</v>
      </c>
    </row>
    <row r="26" spans="1:40" x14ac:dyDescent="0.2">
      <c r="A26" s="5" t="s">
        <v>159</v>
      </c>
      <c r="B26" s="12" t="s">
        <v>54</v>
      </c>
      <c r="C26">
        <v>3</v>
      </c>
      <c r="D26">
        <v>10</v>
      </c>
      <c r="E26" s="13" t="s">
        <v>55</v>
      </c>
      <c r="F26" s="12" t="s">
        <v>54</v>
      </c>
      <c r="G26">
        <v>3</v>
      </c>
      <c r="H26">
        <v>5</v>
      </c>
      <c r="I26" s="13" t="s">
        <v>55</v>
      </c>
      <c r="J26" s="12" t="s">
        <v>56</v>
      </c>
      <c r="K26">
        <v>-30</v>
      </c>
      <c r="L26">
        <v>5</v>
      </c>
      <c r="M26">
        <v>7</v>
      </c>
      <c r="N26" s="18" t="s">
        <v>74</v>
      </c>
      <c r="O26" s="12">
        <v>-25</v>
      </c>
      <c r="P26" s="13">
        <v>100</v>
      </c>
      <c r="Q26" s="12" t="s">
        <v>57</v>
      </c>
      <c r="R26">
        <v>-14</v>
      </c>
      <c r="S26" s="13" t="s">
        <v>77</v>
      </c>
      <c r="T26" s="12" t="s">
        <v>58</v>
      </c>
      <c r="U26">
        <v>-57</v>
      </c>
      <c r="V26" s="13">
        <v>111</v>
      </c>
      <c r="W26">
        <v>-25</v>
      </c>
      <c r="X26">
        <v>0</v>
      </c>
      <c r="Y26" s="12" t="s">
        <v>19</v>
      </c>
      <c r="Z26" t="s">
        <v>64</v>
      </c>
      <c r="AA26" t="s">
        <v>75</v>
      </c>
      <c r="AB26" s="13" t="s">
        <v>18</v>
      </c>
      <c r="AC26" s="12" t="s">
        <v>20</v>
      </c>
      <c r="AD26" t="s">
        <v>21</v>
      </c>
      <c r="AE26" t="s">
        <v>63</v>
      </c>
      <c r="AF26" t="s">
        <v>70</v>
      </c>
      <c r="AG26" t="s">
        <v>70</v>
      </c>
      <c r="AH26" t="s">
        <v>59</v>
      </c>
      <c r="AI26" t="s">
        <v>60</v>
      </c>
      <c r="AJ26" t="s">
        <v>25</v>
      </c>
      <c r="AK26" t="s">
        <v>82</v>
      </c>
      <c r="AL26">
        <v>-50</v>
      </c>
      <c r="AM26">
        <v>1</v>
      </c>
      <c r="AN26" s="17" t="s">
        <v>95</v>
      </c>
    </row>
    <row r="27" spans="1:40" x14ac:dyDescent="0.2">
      <c r="A27" s="5" t="s">
        <v>161</v>
      </c>
      <c r="B27" s="12" t="s">
        <v>54</v>
      </c>
      <c r="C27">
        <v>3</v>
      </c>
      <c r="D27">
        <v>10</v>
      </c>
      <c r="E27" s="13" t="s">
        <v>55</v>
      </c>
      <c r="F27" s="12" t="s">
        <v>54</v>
      </c>
      <c r="G27">
        <v>3</v>
      </c>
      <c r="H27">
        <v>5</v>
      </c>
      <c r="I27" s="13" t="s">
        <v>55</v>
      </c>
      <c r="J27" s="12" t="s">
        <v>56</v>
      </c>
      <c r="K27">
        <v>-30</v>
      </c>
      <c r="L27">
        <v>5</v>
      </c>
      <c r="M27">
        <v>7</v>
      </c>
      <c r="N27" s="18" t="s">
        <v>74</v>
      </c>
      <c r="O27" s="12">
        <v>-25</v>
      </c>
      <c r="P27" s="13">
        <v>100</v>
      </c>
      <c r="Q27" s="12" t="s">
        <v>57</v>
      </c>
      <c r="R27">
        <v>-14</v>
      </c>
      <c r="S27" s="13" t="s">
        <v>77</v>
      </c>
      <c r="T27" s="12" t="s">
        <v>58</v>
      </c>
      <c r="U27">
        <v>-57</v>
      </c>
      <c r="V27" s="13">
        <v>111</v>
      </c>
      <c r="W27">
        <v>-25</v>
      </c>
      <c r="X27">
        <v>0</v>
      </c>
      <c r="Y27" s="12" t="s">
        <v>19</v>
      </c>
      <c r="Z27" t="s">
        <v>64</v>
      </c>
      <c r="AA27" t="s">
        <v>75</v>
      </c>
      <c r="AB27" s="13" t="s">
        <v>18</v>
      </c>
      <c r="AC27" s="12" t="s">
        <v>20</v>
      </c>
      <c r="AD27" t="s">
        <v>21</v>
      </c>
      <c r="AE27" t="s">
        <v>63</v>
      </c>
      <c r="AF27" t="s">
        <v>70</v>
      </c>
      <c r="AG27" t="s">
        <v>70</v>
      </c>
      <c r="AH27" t="s">
        <v>59</v>
      </c>
      <c r="AI27" t="s">
        <v>60</v>
      </c>
      <c r="AJ27" t="s">
        <v>25</v>
      </c>
      <c r="AK27" t="s">
        <v>82</v>
      </c>
      <c r="AL27">
        <v>-50</v>
      </c>
      <c r="AM27">
        <v>1</v>
      </c>
      <c r="AN27" s="17" t="s">
        <v>95</v>
      </c>
    </row>
  </sheetData>
  <mergeCells count="12">
    <mergeCell ref="Y2:AB2"/>
    <mergeCell ref="Y1:AM1"/>
    <mergeCell ref="O2:P2"/>
    <mergeCell ref="Q2:S2"/>
    <mergeCell ref="T2:V2"/>
    <mergeCell ref="AC2:AL2"/>
    <mergeCell ref="W2:X2"/>
    <mergeCell ref="O1:X1"/>
    <mergeCell ref="B1:N1"/>
    <mergeCell ref="B2:E2"/>
    <mergeCell ref="F2:I2"/>
    <mergeCell ref="J2:N2"/>
  </mergeCells>
  <phoneticPr fontId="1"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Header</vt:lpstr>
      <vt:lpstr>Schedule</vt:lpstr>
      <vt:lpstr>Data_Collection</vt:lpstr>
      <vt:lpstr>Equipment</vt:lpstr>
    </vt:vector>
  </TitlesOfParts>
  <Company>State of Alaska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homtech</dc:creator>
  <cp:lastModifiedBy>Byerly, Mike M (DFG)</cp:lastModifiedBy>
  <dcterms:created xsi:type="dcterms:W3CDTF">2010-05-21T16:52:42Z</dcterms:created>
  <dcterms:modified xsi:type="dcterms:W3CDTF">2023-09-11T21:27:21Z</dcterms:modified>
</cp:coreProperties>
</file>